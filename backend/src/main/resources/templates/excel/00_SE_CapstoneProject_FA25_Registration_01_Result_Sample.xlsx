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G:\My Drive\0.FPTU\9.Capstone\3.OnGoing\2025-03\1.Registration\"/>
    </mc:Choice>
  </mc:AlternateContent>
  <xr:revisionPtr revIDLastSave="0" documentId="13_ncr:1_{938C8718-82F5-4523-AD35-922413290C65}" xr6:coauthVersionLast="47" xr6:coauthVersionMax="47" xr10:uidLastSave="{00000000-0000-0000-0000-000000000000}"/>
  <bookViews>
    <workbookView xWindow="-110" yWindow="-110" windowWidth="19420" windowHeight="10300" firstSheet="1" activeTab="1" xr2:uid="{00000000-000D-0000-FFFF-FFFF00000000}"/>
  </bookViews>
  <sheets>
    <sheet name="Registration_Result" sheetId="11" state="hidden" r:id="rId1"/>
    <sheet name="Reviewer1" sheetId="9" r:id="rId2"/>
    <sheet name="Reviewer4" sheetId="10" r:id="rId3"/>
    <sheet name="Reviewer3" sheetId="8" r:id="rId4"/>
    <sheet name="Reviewer2" sheetId="7" r:id="rId5"/>
    <sheet name="Registration" sheetId="5" r:id="rId6"/>
    <sheet name="Summary" sheetId="2" state="hidden" r:id="rId7"/>
  </sheets>
  <definedNames>
    <definedName name="_xlnm._FilterDatabase" localSheetId="5" hidden="1">Registration!$A$2:$AB$74</definedName>
    <definedName name="_xlnm._FilterDatabase" localSheetId="0" hidden="1">Registration_Result!$A$2:$E$100</definedName>
    <definedName name="_xlnm._FilterDatabase" localSheetId="6" hidden="1">Summary!$A$2:$E$2</definedName>
    <definedName name="final_result">Registration_Result!$E$3:$E$62</definedName>
    <definedName name="final_result_table">Registration!$G$3:$L$74</definedName>
    <definedName name="registration_full">Registration!$B$3:$L$74</definedName>
    <definedName name="result_table_full" localSheetId="0">Registration_Result!#REF!</definedName>
    <definedName name="result_table_full">Registration!$T$2:$W$74</definedName>
    <definedName name="reviewer_list">Summary!$I$3:$J$6</definedName>
    <definedName name="reviewer1_result">Reviewer1!$C$2:$EV$14</definedName>
    <definedName name="reviewer2_result">Reviewer2!$C$2:$EV$14</definedName>
    <definedName name="reviewer3_result">Reviewer3!$C$2:$EV$14</definedName>
    <definedName name="reviewer4_result">Reviewer4!$C$2:$EV$14</definedName>
    <definedName name="summary_list">Summary!$B$3:$C$33</definedName>
    <definedName name="supervisor1">Registration!$G$3:$G$74</definedName>
    <definedName name="topic_review0" localSheetId="0">Registration_Result!#REF!</definedName>
    <definedName name="topic_review0">Registration!$J$3:$L$74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5" l="1"/>
  <c r="T4" i="5"/>
  <c r="O4" i="5" s="1" a="1"/>
  <c r="O4" i="5" s="1"/>
  <c r="U4" i="5"/>
  <c r="N4" i="5" s="1" a="1"/>
  <c r="N4" i="5" s="1"/>
  <c r="V4" i="5"/>
  <c r="W4" i="5"/>
  <c r="X4" i="5"/>
  <c r="Y4" i="5"/>
  <c r="Z4" i="5"/>
  <c r="AA4" i="5"/>
  <c r="Q5" i="5"/>
  <c r="T5" i="5"/>
  <c r="U5" i="5"/>
  <c r="N5" i="5" s="1" a="1"/>
  <c r="N5" i="5" s="1"/>
  <c r="V5" i="5"/>
  <c r="O5" i="5" s="1" a="1"/>
  <c r="O5" i="5" s="1"/>
  <c r="W5" i="5"/>
  <c r="X5" i="5"/>
  <c r="Y5" i="5"/>
  <c r="Z5" i="5"/>
  <c r="AA5" i="5"/>
  <c r="Q6" i="5"/>
  <c r="T6" i="5"/>
  <c r="U6" i="5"/>
  <c r="N6" i="5" s="1" a="1"/>
  <c r="N6" i="5" s="1"/>
  <c r="V6" i="5"/>
  <c r="O6" i="5" s="1" a="1"/>
  <c r="O6" i="5" s="1"/>
  <c r="W6" i="5"/>
  <c r="X6" i="5"/>
  <c r="Y6" i="5"/>
  <c r="Z6" i="5"/>
  <c r="AA6" i="5"/>
  <c r="T7" i="5"/>
  <c r="O7" i="5" s="1" a="1"/>
  <c r="O7" i="5" s="1"/>
  <c r="U7" i="5"/>
  <c r="V7" i="5"/>
  <c r="W7" i="5"/>
  <c r="Q7" i="5" s="1"/>
  <c r="X7" i="5"/>
  <c r="Y7" i="5"/>
  <c r="Z7" i="5"/>
  <c r="AA7" i="5"/>
  <c r="T8" i="5"/>
  <c r="O8" i="5" s="1" a="1"/>
  <c r="O8" i="5" s="1"/>
  <c r="U8" i="5"/>
  <c r="N8" i="5" s="1" a="1"/>
  <c r="N8" i="5" s="1"/>
  <c r="V8" i="5"/>
  <c r="W8" i="5"/>
  <c r="Q8" i="5" s="1"/>
  <c r="X8" i="5"/>
  <c r="Y8" i="5"/>
  <c r="Z8" i="5"/>
  <c r="AA8" i="5"/>
  <c r="Q9" i="5"/>
  <c r="T9" i="5"/>
  <c r="U9" i="5"/>
  <c r="N9" i="5" s="1" a="1"/>
  <c r="N9" i="5" s="1"/>
  <c r="V9" i="5"/>
  <c r="W9" i="5"/>
  <c r="O9" i="5" s="1" a="1"/>
  <c r="O9" i="5" s="1"/>
  <c r="X9" i="5"/>
  <c r="Y9" i="5"/>
  <c r="Z9" i="5"/>
  <c r="AA9" i="5"/>
  <c r="Q10" i="5"/>
  <c r="T10" i="5"/>
  <c r="U10" i="5"/>
  <c r="N10" i="5" s="1" a="1"/>
  <c r="N10" i="5" s="1"/>
  <c r="V10" i="5"/>
  <c r="W10" i="5"/>
  <c r="O10" i="5" s="1" a="1"/>
  <c r="O10" i="5" s="1"/>
  <c r="X10" i="5"/>
  <c r="Y10" i="5"/>
  <c r="Z10" i="5"/>
  <c r="AA10" i="5"/>
  <c r="Q11" i="5"/>
  <c r="T11" i="5"/>
  <c r="U11" i="5"/>
  <c r="V11" i="5"/>
  <c r="N11" i="5" s="1" a="1"/>
  <c r="N11" i="5" s="1"/>
  <c r="W11" i="5"/>
  <c r="O11" i="5" s="1" a="1"/>
  <c r="O11" i="5" s="1"/>
  <c r="X11" i="5"/>
  <c r="Y11" i="5"/>
  <c r="Z11" i="5"/>
  <c r="AA11" i="5"/>
  <c r="Q12" i="5"/>
  <c r="T12" i="5"/>
  <c r="U12" i="5"/>
  <c r="N12" i="5" s="1" a="1"/>
  <c r="N12" i="5" s="1"/>
  <c r="V12" i="5"/>
  <c r="W12" i="5"/>
  <c r="O12" i="5" s="1" a="1"/>
  <c r="O12" i="5" s="1"/>
  <c r="X12" i="5"/>
  <c r="Y12" i="5"/>
  <c r="Z12" i="5"/>
  <c r="AA12" i="5"/>
  <c r="Q13" i="5"/>
  <c r="T13" i="5"/>
  <c r="U13" i="5"/>
  <c r="N13" i="5" s="1" a="1"/>
  <c r="N13" i="5" s="1"/>
  <c r="V13" i="5"/>
  <c r="O13" i="5" s="1" a="1"/>
  <c r="O13" i="5" s="1"/>
  <c r="W13" i="5"/>
  <c r="X13" i="5"/>
  <c r="Y13" i="5"/>
  <c r="Z13" i="5"/>
  <c r="AA13" i="5"/>
  <c r="T14" i="5"/>
  <c r="U14" i="5"/>
  <c r="N14" i="5" s="1" a="1"/>
  <c r="N14" i="5" s="1"/>
  <c r="V14" i="5"/>
  <c r="O14" i="5" s="1" a="1"/>
  <c r="O14" i="5" s="1"/>
  <c r="W14" i="5"/>
  <c r="Q14" i="5" s="1"/>
  <c r="X14" i="5"/>
  <c r="Y14" i="5"/>
  <c r="Z14" i="5"/>
  <c r="AA14" i="5"/>
  <c r="Q15" i="5"/>
  <c r="T15" i="5"/>
  <c r="U15" i="5"/>
  <c r="V15" i="5"/>
  <c r="W15" i="5"/>
  <c r="X15" i="5"/>
  <c r="Y15" i="5"/>
  <c r="Z15" i="5"/>
  <c r="AA15" i="5"/>
  <c r="Q16" i="5"/>
  <c r="T16" i="5"/>
  <c r="U16" i="5"/>
  <c r="N16" i="5" s="1" a="1"/>
  <c r="N16" i="5" s="1"/>
  <c r="V16" i="5"/>
  <c r="O16" i="5" s="1" a="1"/>
  <c r="O16" i="5" s="1"/>
  <c r="W16" i="5"/>
  <c r="X16" i="5"/>
  <c r="Y16" i="5"/>
  <c r="Z16" i="5"/>
  <c r="AA16" i="5"/>
  <c r="Q17" i="5"/>
  <c r="T17" i="5"/>
  <c r="O17" i="5" s="1" a="1"/>
  <c r="O17" i="5" s="1"/>
  <c r="U17" i="5"/>
  <c r="N17" i="5" s="1" a="1"/>
  <c r="N17" i="5" s="1"/>
  <c r="V17" i="5"/>
  <c r="W17" i="5"/>
  <c r="X17" i="5"/>
  <c r="Y17" i="5"/>
  <c r="Z17" i="5"/>
  <c r="AA17" i="5"/>
  <c r="Q18" i="5"/>
  <c r="T18" i="5"/>
  <c r="U18" i="5"/>
  <c r="V18" i="5"/>
  <c r="N18" i="5" s="1" a="1"/>
  <c r="N18" i="5" s="1"/>
  <c r="W18" i="5"/>
  <c r="O18" i="5" s="1" a="1"/>
  <c r="O18" i="5" s="1"/>
  <c r="X18" i="5"/>
  <c r="Y18" i="5"/>
  <c r="Z18" i="5"/>
  <c r="AA18" i="5"/>
  <c r="Q19" i="5"/>
  <c r="T19" i="5"/>
  <c r="U19" i="5"/>
  <c r="V19" i="5"/>
  <c r="N19" i="5" s="1" a="1"/>
  <c r="N19" i="5" s="1"/>
  <c r="W19" i="5"/>
  <c r="O19" i="5" s="1" a="1"/>
  <c r="O19" i="5" s="1"/>
  <c r="X19" i="5"/>
  <c r="Y19" i="5"/>
  <c r="Z19" i="5"/>
  <c r="AA19" i="5"/>
  <c r="Q20" i="5"/>
  <c r="T20" i="5"/>
  <c r="U20" i="5"/>
  <c r="N20" i="5" s="1" a="1"/>
  <c r="N20" i="5" s="1"/>
  <c r="V20" i="5"/>
  <c r="W20" i="5"/>
  <c r="O20" i="5" s="1" a="1"/>
  <c r="O20" i="5" s="1"/>
  <c r="X20" i="5"/>
  <c r="Y20" i="5"/>
  <c r="Z20" i="5"/>
  <c r="AA20" i="5"/>
  <c r="Q21" i="5"/>
  <c r="T21" i="5"/>
  <c r="U21" i="5"/>
  <c r="N21" i="5" s="1" a="1"/>
  <c r="N21" i="5" s="1"/>
  <c r="V21" i="5"/>
  <c r="W21" i="5"/>
  <c r="O21" i="5" s="1" a="1"/>
  <c r="O21" i="5" s="1"/>
  <c r="X21" i="5"/>
  <c r="Y21" i="5"/>
  <c r="Z21" i="5"/>
  <c r="AA21" i="5"/>
  <c r="Q22" i="5"/>
  <c r="T22" i="5"/>
  <c r="U22" i="5"/>
  <c r="N22" i="5" s="1" a="1"/>
  <c r="N22" i="5" s="1"/>
  <c r="V22" i="5"/>
  <c r="W22" i="5"/>
  <c r="O22" i="5" s="1" a="1"/>
  <c r="O22" i="5" s="1"/>
  <c r="X22" i="5"/>
  <c r="Y22" i="5"/>
  <c r="Z22" i="5"/>
  <c r="AA22" i="5"/>
  <c r="Q23" i="5"/>
  <c r="T23" i="5"/>
  <c r="U23" i="5"/>
  <c r="N23" i="5" s="1" a="1"/>
  <c r="N23" i="5" s="1"/>
  <c r="V23" i="5"/>
  <c r="O23" i="5" s="1" a="1"/>
  <c r="O23" i="5" s="1"/>
  <c r="W23" i="5"/>
  <c r="X23" i="5"/>
  <c r="Y23" i="5"/>
  <c r="Z23" i="5"/>
  <c r="AA23" i="5"/>
  <c r="Q24" i="5"/>
  <c r="T24" i="5"/>
  <c r="N24" i="5" s="1" a="1"/>
  <c r="N24" i="5" s="1"/>
  <c r="U24" i="5"/>
  <c r="V24" i="5"/>
  <c r="W24" i="5"/>
  <c r="O24" i="5" s="1" a="1"/>
  <c r="O24" i="5" s="1"/>
  <c r="X24" i="5"/>
  <c r="Y24" i="5"/>
  <c r="Z24" i="5"/>
  <c r="AA24" i="5"/>
  <c r="Q25" i="5"/>
  <c r="T25" i="5"/>
  <c r="N25" i="5" s="1" a="1"/>
  <c r="N25" i="5" s="1"/>
  <c r="U25" i="5"/>
  <c r="V25" i="5"/>
  <c r="W25" i="5"/>
  <c r="O25" i="5" s="1" a="1"/>
  <c r="O25" i="5" s="1"/>
  <c r="X25" i="5"/>
  <c r="Y25" i="5"/>
  <c r="Z25" i="5"/>
  <c r="AA25" i="5"/>
  <c r="Q26" i="5"/>
  <c r="T26" i="5"/>
  <c r="N26" i="5" s="1" a="1"/>
  <c r="N26" i="5" s="1"/>
  <c r="U26" i="5"/>
  <c r="V26" i="5"/>
  <c r="W26" i="5"/>
  <c r="O26" i="5" s="1" a="1"/>
  <c r="O26" i="5" s="1"/>
  <c r="X26" i="5"/>
  <c r="Y26" i="5"/>
  <c r="Z26" i="5"/>
  <c r="AA26" i="5"/>
  <c r="Q27" i="5"/>
  <c r="T27" i="5"/>
  <c r="N27" i="5" s="1" a="1"/>
  <c r="N27" i="5" s="1"/>
  <c r="U27" i="5"/>
  <c r="V27" i="5"/>
  <c r="W27" i="5"/>
  <c r="O27" i="5" s="1" a="1"/>
  <c r="O27" i="5" s="1"/>
  <c r="X27" i="5"/>
  <c r="Y27" i="5"/>
  <c r="Z27" i="5"/>
  <c r="AA27" i="5"/>
  <c r="Q28" i="5"/>
  <c r="T28" i="5"/>
  <c r="N28" i="5" s="1" a="1"/>
  <c r="N28" i="5" s="1"/>
  <c r="U28" i="5"/>
  <c r="V28" i="5"/>
  <c r="W28" i="5"/>
  <c r="O28" i="5" s="1" a="1"/>
  <c r="O28" i="5" s="1"/>
  <c r="X28" i="5"/>
  <c r="Y28" i="5"/>
  <c r="Z28" i="5"/>
  <c r="AA28" i="5"/>
  <c r="T29" i="5"/>
  <c r="N29" i="5" s="1" a="1"/>
  <c r="N29" i="5" s="1"/>
  <c r="U29" i="5"/>
  <c r="V29" i="5"/>
  <c r="O29" i="5" s="1" a="1"/>
  <c r="O29" i="5" s="1"/>
  <c r="W29" i="5"/>
  <c r="Q29" i="5" s="1"/>
  <c r="X29" i="5"/>
  <c r="Y29" i="5"/>
  <c r="Z29" i="5"/>
  <c r="AA29" i="5"/>
  <c r="Q30" i="5"/>
  <c r="T30" i="5"/>
  <c r="N30" i="5" s="1" a="1"/>
  <c r="N30" i="5" s="1"/>
  <c r="U30" i="5"/>
  <c r="V30" i="5"/>
  <c r="O30" i="5" s="1" a="1"/>
  <c r="O30" i="5" s="1"/>
  <c r="W30" i="5"/>
  <c r="X30" i="5"/>
  <c r="Y30" i="5"/>
  <c r="Z30" i="5"/>
  <c r="AA30" i="5"/>
  <c r="Q31" i="5"/>
  <c r="T31" i="5"/>
  <c r="N31" i="5" s="1" a="1"/>
  <c r="N31" i="5" s="1"/>
  <c r="U31" i="5"/>
  <c r="V31" i="5"/>
  <c r="O31" i="5" s="1" a="1"/>
  <c r="O31" i="5" s="1"/>
  <c r="W31" i="5"/>
  <c r="X31" i="5"/>
  <c r="Y31" i="5"/>
  <c r="Z31" i="5"/>
  <c r="AA31" i="5"/>
  <c r="Q32" i="5"/>
  <c r="T32" i="5"/>
  <c r="N32" i="5" s="1" a="1"/>
  <c r="N32" i="5" s="1"/>
  <c r="U32" i="5"/>
  <c r="O32" i="5" s="1" a="1"/>
  <c r="O32" i="5" s="1"/>
  <c r="V32" i="5"/>
  <c r="W32" i="5"/>
  <c r="X32" i="5"/>
  <c r="Y32" i="5"/>
  <c r="Z32" i="5"/>
  <c r="AA32" i="5"/>
  <c r="Q33" i="5"/>
  <c r="T33" i="5"/>
  <c r="U33" i="5"/>
  <c r="V33" i="5"/>
  <c r="W33" i="5"/>
  <c r="O33" i="5" s="1" a="1"/>
  <c r="O33" i="5" s="1"/>
  <c r="X33" i="5"/>
  <c r="Y33" i="5"/>
  <c r="Z33" i="5"/>
  <c r="AA33" i="5"/>
  <c r="Q34" i="5"/>
  <c r="T34" i="5"/>
  <c r="U34" i="5"/>
  <c r="V34" i="5"/>
  <c r="W34" i="5"/>
  <c r="O34" i="5" s="1" a="1"/>
  <c r="O34" i="5" s="1"/>
  <c r="X34" i="5"/>
  <c r="Y34" i="5"/>
  <c r="Z34" i="5"/>
  <c r="AA34" i="5"/>
  <c r="Q35" i="5"/>
  <c r="T35" i="5"/>
  <c r="U35" i="5"/>
  <c r="V35" i="5"/>
  <c r="W35" i="5"/>
  <c r="O35" i="5" s="1" a="1"/>
  <c r="O35" i="5" s="1"/>
  <c r="X35" i="5"/>
  <c r="Y35" i="5"/>
  <c r="Z35" i="5"/>
  <c r="AA35" i="5"/>
  <c r="Q36" i="5"/>
  <c r="T36" i="5"/>
  <c r="U36" i="5"/>
  <c r="V36" i="5"/>
  <c r="W36" i="5"/>
  <c r="O36" i="5" s="1" a="1"/>
  <c r="O36" i="5" s="1"/>
  <c r="X36" i="5"/>
  <c r="Y36" i="5"/>
  <c r="Z36" i="5"/>
  <c r="AA36" i="5"/>
  <c r="Q37" i="5"/>
  <c r="T37" i="5"/>
  <c r="U37" i="5"/>
  <c r="V37" i="5"/>
  <c r="W37" i="5"/>
  <c r="O37" i="5" s="1" a="1"/>
  <c r="O37" i="5" s="1"/>
  <c r="X37" i="5"/>
  <c r="Y37" i="5"/>
  <c r="Z37" i="5"/>
  <c r="AA37" i="5"/>
  <c r="Q38" i="5"/>
  <c r="T38" i="5"/>
  <c r="U38" i="5"/>
  <c r="V38" i="5"/>
  <c r="N38" i="5" s="1" a="1"/>
  <c r="N38" i="5" s="1"/>
  <c r="W38" i="5"/>
  <c r="O38" i="5" s="1" a="1"/>
  <c r="O38" i="5" s="1"/>
  <c r="X38" i="5"/>
  <c r="Y38" i="5"/>
  <c r="Z38" i="5"/>
  <c r="AA38" i="5"/>
  <c r="Q39" i="5"/>
  <c r="T39" i="5"/>
  <c r="U39" i="5"/>
  <c r="V39" i="5"/>
  <c r="N39" i="5" s="1" a="1"/>
  <c r="N39" i="5" s="1"/>
  <c r="W39" i="5"/>
  <c r="O39" i="5" s="1" a="1"/>
  <c r="O39" i="5" s="1"/>
  <c r="X39" i="5"/>
  <c r="Y39" i="5"/>
  <c r="Z39" i="5"/>
  <c r="AA39" i="5"/>
  <c r="Q40" i="5"/>
  <c r="T40" i="5"/>
  <c r="U40" i="5"/>
  <c r="V40" i="5"/>
  <c r="N40" i="5" s="1" a="1"/>
  <c r="N40" i="5" s="1"/>
  <c r="W40" i="5"/>
  <c r="O40" i="5" s="1" a="1"/>
  <c r="O40" i="5" s="1"/>
  <c r="X40" i="5"/>
  <c r="Y40" i="5"/>
  <c r="Z40" i="5"/>
  <c r="AA40" i="5"/>
  <c r="Q41" i="5"/>
  <c r="T41" i="5"/>
  <c r="U41" i="5"/>
  <c r="V41" i="5"/>
  <c r="N41" i="5" s="1" a="1"/>
  <c r="N41" i="5" s="1"/>
  <c r="W41" i="5"/>
  <c r="O41" i="5" s="1" a="1"/>
  <c r="O41" i="5" s="1"/>
  <c r="X41" i="5"/>
  <c r="Y41" i="5"/>
  <c r="Z41" i="5"/>
  <c r="AA41" i="5"/>
  <c r="Q42" i="5"/>
  <c r="T42" i="5"/>
  <c r="U42" i="5"/>
  <c r="V42" i="5"/>
  <c r="N42" i="5" s="1" a="1"/>
  <c r="N42" i="5" s="1"/>
  <c r="W42" i="5"/>
  <c r="O42" i="5" s="1" a="1"/>
  <c r="O42" i="5" s="1"/>
  <c r="X42" i="5"/>
  <c r="Y42" i="5"/>
  <c r="Z42" i="5"/>
  <c r="AA42" i="5"/>
  <c r="Q43" i="5"/>
  <c r="T43" i="5"/>
  <c r="U43" i="5"/>
  <c r="N43" i="5" s="1" a="1"/>
  <c r="N43" i="5" s="1"/>
  <c r="V43" i="5"/>
  <c r="W43" i="5"/>
  <c r="X43" i="5"/>
  <c r="Y43" i="5"/>
  <c r="Z43" i="5"/>
  <c r="AA43" i="5"/>
  <c r="Q44" i="5"/>
  <c r="T44" i="5"/>
  <c r="U44" i="5"/>
  <c r="N44" i="5" s="1" a="1"/>
  <c r="N44" i="5" s="1"/>
  <c r="V44" i="5"/>
  <c r="W44" i="5"/>
  <c r="O44" i="5" s="1" a="1"/>
  <c r="O44" i="5" s="1"/>
  <c r="X44" i="5"/>
  <c r="Y44" i="5"/>
  <c r="Z44" i="5"/>
  <c r="AA44" i="5"/>
  <c r="Q45" i="5"/>
  <c r="T45" i="5"/>
  <c r="N45" i="5" s="1" a="1"/>
  <c r="N45" i="5" s="1"/>
  <c r="U45" i="5"/>
  <c r="V45" i="5"/>
  <c r="O45" i="5" s="1" a="1"/>
  <c r="O45" i="5" s="1"/>
  <c r="W45" i="5"/>
  <c r="X45" i="5"/>
  <c r="Y45" i="5"/>
  <c r="Z45" i="5"/>
  <c r="AA45" i="5"/>
  <c r="Q46" i="5"/>
  <c r="T46" i="5"/>
  <c r="U46" i="5"/>
  <c r="V46" i="5"/>
  <c r="O46" i="5" s="1" a="1"/>
  <c r="O46" i="5" s="1"/>
  <c r="W46" i="5"/>
  <c r="X46" i="5"/>
  <c r="Y46" i="5"/>
  <c r="Z46" i="5"/>
  <c r="AA46" i="5"/>
  <c r="Q47" i="5"/>
  <c r="T47" i="5"/>
  <c r="N47" i="5" s="1" a="1"/>
  <c r="N47" i="5" s="1"/>
  <c r="U47" i="5"/>
  <c r="V47" i="5"/>
  <c r="W47" i="5"/>
  <c r="X47" i="5"/>
  <c r="Y47" i="5"/>
  <c r="Z47" i="5"/>
  <c r="AA47" i="5"/>
  <c r="Q48" i="5"/>
  <c r="T48" i="5"/>
  <c r="U48" i="5"/>
  <c r="V48" i="5"/>
  <c r="N48" i="5" s="1" a="1"/>
  <c r="N48" i="5" s="1"/>
  <c r="W48" i="5"/>
  <c r="O48" i="5" s="1" a="1"/>
  <c r="O48" i="5" s="1"/>
  <c r="X48" i="5"/>
  <c r="Y48" i="5"/>
  <c r="Z48" i="5"/>
  <c r="AA48" i="5"/>
  <c r="T49" i="5"/>
  <c r="N49" i="5" s="1" a="1"/>
  <c r="N49" i="5" s="1"/>
  <c r="U49" i="5"/>
  <c r="V49" i="5"/>
  <c r="O49" i="5" s="1" a="1"/>
  <c r="O49" i="5" s="1"/>
  <c r="W49" i="5"/>
  <c r="Q49" i="5" s="1"/>
  <c r="X49" i="5"/>
  <c r="Y49" i="5"/>
  <c r="Z49" i="5"/>
  <c r="AA49" i="5"/>
  <c r="T50" i="5"/>
  <c r="N50" i="5" s="1" a="1"/>
  <c r="N50" i="5" s="1"/>
  <c r="U50" i="5"/>
  <c r="V50" i="5"/>
  <c r="O50" i="5" s="1" a="1"/>
  <c r="O50" i="5" s="1"/>
  <c r="W50" i="5"/>
  <c r="Q50" i="5" s="1"/>
  <c r="X50" i="5"/>
  <c r="Y50" i="5"/>
  <c r="Z50" i="5"/>
  <c r="AA50" i="5"/>
  <c r="Q51" i="5"/>
  <c r="T51" i="5"/>
  <c r="N51" i="5" s="1" a="1"/>
  <c r="N51" i="5" s="1"/>
  <c r="U51" i="5"/>
  <c r="V51" i="5"/>
  <c r="O51" i="5" s="1" a="1"/>
  <c r="O51" i="5" s="1"/>
  <c r="W51" i="5"/>
  <c r="X51" i="5"/>
  <c r="Y51" i="5"/>
  <c r="Z51" i="5"/>
  <c r="AA51" i="5"/>
  <c r="Q52" i="5"/>
  <c r="T52" i="5"/>
  <c r="N52" i="5" s="1" a="1"/>
  <c r="N52" i="5" s="1"/>
  <c r="U52" i="5"/>
  <c r="V52" i="5"/>
  <c r="O52" i="5" s="1" a="1"/>
  <c r="O52" i="5" s="1"/>
  <c r="W52" i="5"/>
  <c r="X52" i="5"/>
  <c r="Y52" i="5"/>
  <c r="Z52" i="5"/>
  <c r="AA52" i="5"/>
  <c r="Q53" i="5"/>
  <c r="T53" i="5"/>
  <c r="U53" i="5"/>
  <c r="V53" i="5"/>
  <c r="W53" i="5"/>
  <c r="X53" i="5"/>
  <c r="Y53" i="5"/>
  <c r="Z53" i="5"/>
  <c r="AA53" i="5"/>
  <c r="Q54" i="5"/>
  <c r="T54" i="5"/>
  <c r="U54" i="5"/>
  <c r="N54" i="5" s="1" a="1"/>
  <c r="N54" i="5" s="1"/>
  <c r="V54" i="5"/>
  <c r="W54" i="5"/>
  <c r="X54" i="5"/>
  <c r="Y54" i="5"/>
  <c r="Z54" i="5"/>
  <c r="AA54" i="5"/>
  <c r="T55" i="5"/>
  <c r="U55" i="5"/>
  <c r="N55" i="5" s="1" a="1"/>
  <c r="N55" i="5" s="1"/>
  <c r="V55" i="5"/>
  <c r="O55" i="5" s="1" a="1"/>
  <c r="O55" i="5" s="1"/>
  <c r="W55" i="5"/>
  <c r="Q55" i="5" s="1"/>
  <c r="X55" i="5"/>
  <c r="Y55" i="5"/>
  <c r="Z55" i="5"/>
  <c r="AA55" i="5"/>
  <c r="T56" i="5"/>
  <c r="U56" i="5"/>
  <c r="N56" i="5" s="1" a="1"/>
  <c r="N56" i="5" s="1"/>
  <c r="V56" i="5"/>
  <c r="O56" i="5" s="1" a="1"/>
  <c r="O56" i="5" s="1"/>
  <c r="W56" i="5"/>
  <c r="Q56" i="5" s="1"/>
  <c r="X56" i="5"/>
  <c r="Y56" i="5"/>
  <c r="Z56" i="5"/>
  <c r="AA56" i="5"/>
  <c r="Q57" i="5"/>
  <c r="T57" i="5"/>
  <c r="U57" i="5"/>
  <c r="N57" i="5" s="1" a="1"/>
  <c r="N57" i="5" s="1"/>
  <c r="V57" i="5"/>
  <c r="O57" i="5" s="1" a="1"/>
  <c r="O57" i="5" s="1"/>
  <c r="W57" i="5"/>
  <c r="X57" i="5"/>
  <c r="Y57" i="5"/>
  <c r="Z57" i="5"/>
  <c r="AA57" i="5"/>
  <c r="Q58" i="5"/>
  <c r="T58" i="5"/>
  <c r="U58" i="5"/>
  <c r="V58" i="5"/>
  <c r="W58" i="5"/>
  <c r="O58" i="5" s="1" a="1"/>
  <c r="O58" i="5" s="1"/>
  <c r="X58" i="5"/>
  <c r="Y58" i="5"/>
  <c r="Z58" i="5"/>
  <c r="AA58" i="5"/>
  <c r="Q59" i="5"/>
  <c r="T59" i="5"/>
  <c r="U59" i="5"/>
  <c r="V59" i="5"/>
  <c r="W59" i="5"/>
  <c r="O59" i="5" s="1" a="1"/>
  <c r="O59" i="5" s="1"/>
  <c r="X59" i="5"/>
  <c r="Y59" i="5"/>
  <c r="Z59" i="5"/>
  <c r="AA59" i="5"/>
  <c r="Q60" i="5"/>
  <c r="T60" i="5"/>
  <c r="N60" i="5" s="1" a="1"/>
  <c r="N60" i="5" s="1"/>
  <c r="U60" i="5"/>
  <c r="O60" i="5" s="1" a="1"/>
  <c r="O60" i="5" s="1"/>
  <c r="V60" i="5"/>
  <c r="W60" i="5"/>
  <c r="X60" i="5"/>
  <c r="Y60" i="5"/>
  <c r="Z60" i="5"/>
  <c r="AA60" i="5"/>
  <c r="Q61" i="5"/>
  <c r="T61" i="5"/>
  <c r="N61" i="5" s="1" a="1"/>
  <c r="N61" i="5" s="1"/>
  <c r="U61" i="5"/>
  <c r="O61" i="5" s="1" a="1"/>
  <c r="O61" i="5" s="1"/>
  <c r="V61" i="5"/>
  <c r="W61" i="5"/>
  <c r="X61" i="5"/>
  <c r="Y61" i="5"/>
  <c r="Z61" i="5"/>
  <c r="AA61" i="5"/>
  <c r="Q62" i="5"/>
  <c r="T62" i="5"/>
  <c r="N62" i="5" s="1" a="1"/>
  <c r="N62" i="5" s="1"/>
  <c r="U62" i="5"/>
  <c r="O62" i="5" s="1" a="1"/>
  <c r="O62" i="5" s="1"/>
  <c r="V62" i="5"/>
  <c r="W62" i="5"/>
  <c r="X62" i="5"/>
  <c r="Y62" i="5"/>
  <c r="Z62" i="5"/>
  <c r="AA62" i="5"/>
  <c r="Q63" i="5"/>
  <c r="T63" i="5"/>
  <c r="U63" i="5"/>
  <c r="V63" i="5"/>
  <c r="W63" i="5"/>
  <c r="X63" i="5"/>
  <c r="Y63" i="5"/>
  <c r="Z63" i="5"/>
  <c r="AA63" i="5"/>
  <c r="Q64" i="5"/>
  <c r="T64" i="5"/>
  <c r="U64" i="5"/>
  <c r="V64" i="5"/>
  <c r="W64" i="5"/>
  <c r="X64" i="5"/>
  <c r="Y64" i="5"/>
  <c r="Z64" i="5"/>
  <c r="AA64" i="5"/>
  <c r="Q65" i="5"/>
  <c r="T65" i="5"/>
  <c r="U65" i="5"/>
  <c r="V65" i="5"/>
  <c r="W65" i="5"/>
  <c r="X65" i="5"/>
  <c r="Y65" i="5"/>
  <c r="Z65" i="5"/>
  <c r="AA65" i="5"/>
  <c r="Q66" i="5"/>
  <c r="T66" i="5"/>
  <c r="U66" i="5"/>
  <c r="V66" i="5"/>
  <c r="W66" i="5"/>
  <c r="O66" i="5" s="1" a="1"/>
  <c r="O66" i="5" s="1"/>
  <c r="X66" i="5"/>
  <c r="Y66" i="5"/>
  <c r="Z66" i="5"/>
  <c r="AA66" i="5"/>
  <c r="Q67" i="5"/>
  <c r="T67" i="5"/>
  <c r="U67" i="5"/>
  <c r="V67" i="5"/>
  <c r="W67" i="5"/>
  <c r="O67" i="5" s="1" a="1"/>
  <c r="O67" i="5" s="1"/>
  <c r="X67" i="5"/>
  <c r="Y67" i="5"/>
  <c r="Z67" i="5"/>
  <c r="AA67" i="5"/>
  <c r="Q68" i="5"/>
  <c r="T68" i="5"/>
  <c r="U68" i="5"/>
  <c r="N68" i="5" s="1" a="1"/>
  <c r="N68" i="5" s="1"/>
  <c r="V68" i="5"/>
  <c r="W68" i="5"/>
  <c r="O68" i="5" s="1" a="1"/>
  <c r="O68" i="5" s="1"/>
  <c r="X68" i="5"/>
  <c r="Y68" i="5"/>
  <c r="Z68" i="5"/>
  <c r="AA68" i="5"/>
  <c r="Q69" i="5"/>
  <c r="T69" i="5"/>
  <c r="U69" i="5"/>
  <c r="N69" i="5" s="1" a="1"/>
  <c r="N69" i="5" s="1"/>
  <c r="V69" i="5"/>
  <c r="O69" i="5" s="1" a="1"/>
  <c r="O69" i="5" s="1"/>
  <c r="W69" i="5"/>
  <c r="X69" i="5"/>
  <c r="Y69" i="5"/>
  <c r="Z69" i="5"/>
  <c r="AA69" i="5"/>
  <c r="T70" i="5"/>
  <c r="O70" i="5" s="1" a="1"/>
  <c r="O70" i="5" s="1"/>
  <c r="U70" i="5"/>
  <c r="V70" i="5"/>
  <c r="N70" i="5" s="1" a="1"/>
  <c r="N70" i="5" s="1"/>
  <c r="W70" i="5"/>
  <c r="Q70" i="5" s="1"/>
  <c r="X70" i="5"/>
  <c r="Y70" i="5"/>
  <c r="Z70" i="5"/>
  <c r="AA70" i="5"/>
  <c r="T71" i="5"/>
  <c r="O71" i="5" s="1" a="1"/>
  <c r="O71" i="5" s="1"/>
  <c r="U71" i="5"/>
  <c r="V71" i="5"/>
  <c r="N71" i="5" s="1" a="1"/>
  <c r="N71" i="5" s="1"/>
  <c r="W71" i="5"/>
  <c r="Q71" i="5" s="1"/>
  <c r="X71" i="5"/>
  <c r="Y71" i="5"/>
  <c r="Z71" i="5"/>
  <c r="AA71" i="5"/>
  <c r="Q72" i="5"/>
  <c r="T72" i="5"/>
  <c r="O72" i="5" s="1" a="1"/>
  <c r="O72" i="5" s="1"/>
  <c r="U72" i="5"/>
  <c r="N72" i="5" s="1" a="1"/>
  <c r="N72" i="5" s="1"/>
  <c r="V72" i="5"/>
  <c r="W72" i="5"/>
  <c r="X72" i="5"/>
  <c r="Y72" i="5"/>
  <c r="Z72" i="5"/>
  <c r="AA72" i="5"/>
  <c r="Q73" i="5"/>
  <c r="T73" i="5"/>
  <c r="O73" i="5" s="1" a="1"/>
  <c r="O73" i="5" s="1"/>
  <c r="U73" i="5"/>
  <c r="N73" i="5" s="1" a="1"/>
  <c r="N73" i="5" s="1"/>
  <c r="V73" i="5"/>
  <c r="W73" i="5"/>
  <c r="X73" i="5"/>
  <c r="Y73" i="5"/>
  <c r="Z73" i="5"/>
  <c r="AA73" i="5"/>
  <c r="Q74" i="5"/>
  <c r="T74" i="5"/>
  <c r="O74" i="5" s="1" a="1"/>
  <c r="O74" i="5" s="1"/>
  <c r="U74" i="5"/>
  <c r="N74" i="5" s="1" a="1"/>
  <c r="N74" i="5" s="1"/>
  <c r="V74" i="5"/>
  <c r="W74" i="5"/>
  <c r="X74" i="5"/>
  <c r="Y74" i="5"/>
  <c r="Z74" i="5"/>
  <c r="AA74"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N7" i="5" l="1" a="1"/>
  <c r="N7" i="5" s="1"/>
  <c r="N63" i="5" a="1"/>
  <c r="N63" i="5" s="1"/>
  <c r="N36" i="5" a="1"/>
  <c r="N36" i="5" s="1"/>
  <c r="N66" i="5" a="1"/>
  <c r="N66" i="5" s="1"/>
  <c r="N65" i="5" a="1"/>
  <c r="N65" i="5" s="1"/>
  <c r="N34" i="5" a="1"/>
  <c r="N34" i="5" s="1"/>
  <c r="N37" i="5" a="1"/>
  <c r="N37" i="5" s="1"/>
  <c r="P37" i="5" s="1" a="1"/>
  <c r="P37" i="5" s="1"/>
  <c r="R37" i="5" s="1" a="1"/>
  <c r="R37" i="5" s="1"/>
  <c r="S37" i="5" s="1" a="1"/>
  <c r="S37" i="5" s="1"/>
  <c r="N64" i="5" a="1"/>
  <c r="N64" i="5" s="1"/>
  <c r="N53" i="5" a="1"/>
  <c r="N53" i="5" s="1"/>
  <c r="N58" i="5" a="1"/>
  <c r="N58" i="5" s="1"/>
  <c r="P58" i="5" s="1" a="1"/>
  <c r="P58" i="5" s="1"/>
  <c r="R58" i="5" s="1" a="1"/>
  <c r="R58" i="5" s="1"/>
  <c r="S58" i="5" s="1" a="1"/>
  <c r="S58" i="5" s="1"/>
  <c r="O63" i="5" a="1"/>
  <c r="O63" i="5" s="1"/>
  <c r="O64" i="5" a="1"/>
  <c r="O64" i="5" s="1"/>
  <c r="O43" i="5" a="1"/>
  <c r="O43" i="5" s="1"/>
  <c r="N35" i="5" a="1"/>
  <c r="N35" i="5" s="1"/>
  <c r="P35" i="5" s="1" a="1"/>
  <c r="P35" i="5" s="1"/>
  <c r="R35" i="5" s="1" a="1"/>
  <c r="R35" i="5" s="1"/>
  <c r="S35" i="5" s="1" a="1"/>
  <c r="S35" i="5" s="1"/>
  <c r="O65" i="5" a="1"/>
  <c r="O65" i="5" s="1"/>
  <c r="N15" i="5" a="1"/>
  <c r="N15" i="5" s="1"/>
  <c r="N59" i="5" a="1"/>
  <c r="N59" i="5" s="1"/>
  <c r="P59" i="5" s="1" a="1"/>
  <c r="P59" i="5" s="1"/>
  <c r="R59" i="5" s="1" a="1"/>
  <c r="R59" i="5" s="1"/>
  <c r="S59" i="5" s="1" a="1"/>
  <c r="S59" i="5" s="1"/>
  <c r="N46" i="5" a="1"/>
  <c r="N46" i="5" s="1"/>
  <c r="P46" i="5" s="1" a="1"/>
  <c r="P46" i="5" s="1"/>
  <c r="R46" i="5" s="1" a="1"/>
  <c r="R46" i="5" s="1"/>
  <c r="S46" i="5" s="1" a="1"/>
  <c r="S46" i="5" s="1"/>
  <c r="O47" i="5" a="1"/>
  <c r="O47" i="5" s="1"/>
  <c r="P47" i="5" s="1" a="1"/>
  <c r="P47" i="5" s="1"/>
  <c r="R47" i="5" s="1" a="1"/>
  <c r="R47" i="5" s="1"/>
  <c r="S47" i="5" s="1" a="1"/>
  <c r="S47" i="5" s="1"/>
  <c r="O54" i="5" a="1"/>
  <c r="O54" i="5" s="1"/>
  <c r="P54" i="5" s="1" a="1"/>
  <c r="P54" i="5" s="1"/>
  <c r="R54" i="5" s="1" a="1"/>
  <c r="R54" i="5" s="1"/>
  <c r="S54" i="5" s="1" a="1"/>
  <c r="S54" i="5" s="1"/>
  <c r="O53" i="5" a="1"/>
  <c r="O53" i="5" s="1"/>
  <c r="N67" i="5" a="1"/>
  <c r="N67" i="5" s="1"/>
  <c r="P67" i="5" s="1" a="1"/>
  <c r="P67" i="5" s="1"/>
  <c r="R67" i="5" s="1" a="1"/>
  <c r="R67" i="5" s="1"/>
  <c r="S67" i="5" s="1" a="1"/>
  <c r="S67" i="5" s="1"/>
  <c r="N33" i="5" a="1"/>
  <c r="N33" i="5" s="1"/>
  <c r="P33" i="5" s="1" a="1"/>
  <c r="P33" i="5" s="1"/>
  <c r="R33" i="5" s="1" a="1"/>
  <c r="R33" i="5" s="1"/>
  <c r="S33" i="5" s="1" a="1"/>
  <c r="S33" i="5" s="1"/>
  <c r="O15" i="5" a="1"/>
  <c r="O15" i="5" s="1"/>
  <c r="AB7" i="5"/>
  <c r="AB16" i="5"/>
  <c r="AB45" i="5"/>
  <c r="AB73" i="5"/>
  <c r="AB31" i="5"/>
  <c r="P60" i="5" a="1"/>
  <c r="P60" i="5" s="1"/>
  <c r="R60" i="5" s="1" a="1"/>
  <c r="R60" i="5" s="1"/>
  <c r="S60" i="5" s="1" a="1"/>
  <c r="S60" i="5" s="1"/>
  <c r="AB61" i="5"/>
  <c r="P72" i="5" a="1"/>
  <c r="P72" i="5" s="1"/>
  <c r="R72" i="5" s="1" a="1"/>
  <c r="R72" i="5" s="1"/>
  <c r="S72" i="5" s="1" a="1"/>
  <c r="S72" i="5" s="1"/>
  <c r="P71" i="5" a="1"/>
  <c r="P71" i="5" s="1"/>
  <c r="R71" i="5" s="1" a="1"/>
  <c r="R71" i="5" s="1"/>
  <c r="S71" i="5" s="1" a="1"/>
  <c r="S71" i="5" s="1"/>
  <c r="AB18" i="5"/>
  <c r="P12" i="5" a="1"/>
  <c r="P12" i="5" s="1"/>
  <c r="R12" i="5" s="1" a="1"/>
  <c r="R12" i="5" s="1"/>
  <c r="S12" i="5" s="1" a="1"/>
  <c r="S12" i="5" s="1"/>
  <c r="AB37" i="5"/>
  <c r="AB27" i="5"/>
  <c r="AB22" i="5"/>
  <c r="AB65" i="5"/>
  <c r="AB59" i="5"/>
  <c r="AB9" i="5"/>
  <c r="P66" i="5" a="1"/>
  <c r="P66" i="5" s="1"/>
  <c r="R66" i="5" s="1" a="1"/>
  <c r="R66" i="5" s="1"/>
  <c r="S66" i="5" s="1" a="1"/>
  <c r="S66" i="5" s="1"/>
  <c r="AB21" i="5"/>
  <c r="AB30" i="5"/>
  <c r="AB29" i="5"/>
  <c r="AB53" i="5"/>
  <c r="AB15" i="5"/>
  <c r="AB11" i="5"/>
  <c r="AB6" i="5"/>
  <c r="P62" i="5" a="1"/>
  <c r="P62" i="5" s="1"/>
  <c r="R62" i="5" s="1" a="1"/>
  <c r="R62" i="5" s="1"/>
  <c r="S62" i="5" s="1" a="1"/>
  <c r="S62" i="5" s="1"/>
  <c r="P55" i="5" a="1"/>
  <c r="P55" i="5" s="1"/>
  <c r="R55" i="5" s="1" a="1"/>
  <c r="R55" i="5" s="1"/>
  <c r="S55" i="5" s="1" a="1"/>
  <c r="S55" i="5" s="1"/>
  <c r="AB39" i="5"/>
  <c r="AB25" i="5"/>
  <c r="AB20" i="5"/>
  <c r="AB63" i="5"/>
  <c r="AB57" i="5"/>
  <c r="P45" i="5" a="1"/>
  <c r="P45" i="5" s="1"/>
  <c r="R45" i="5" s="1" a="1"/>
  <c r="R45" i="5" s="1"/>
  <c r="S45" i="5" s="1" a="1"/>
  <c r="S45" i="5" s="1"/>
  <c r="AB55" i="5"/>
  <c r="AB5" i="5"/>
  <c r="AB46" i="5"/>
  <c r="AB32" i="5"/>
  <c r="AB69" i="5"/>
  <c r="AB33" i="5"/>
  <c r="AB70" i="5"/>
  <c r="AB54" i="5"/>
  <c r="AB41" i="5"/>
  <c r="AB13" i="5"/>
  <c r="P32" i="5" a="1"/>
  <c r="P32" i="5" s="1"/>
  <c r="R32" i="5" s="1" a="1"/>
  <c r="R32" i="5" s="1"/>
  <c r="S32" i="5" s="1" a="1"/>
  <c r="S32" i="5" s="1"/>
  <c r="P68" i="5" a="1"/>
  <c r="P68" i="5" s="1"/>
  <c r="R68" i="5" s="1" a="1"/>
  <c r="R68" i="5" s="1"/>
  <c r="S68" i="5" s="1" a="1"/>
  <c r="S68" i="5" s="1"/>
  <c r="AB49" i="5"/>
  <c r="AB35" i="5"/>
  <c r="AB28" i="5"/>
  <c r="P14" i="5" a="1"/>
  <c r="P14" i="5" s="1"/>
  <c r="R14" i="5" s="1" a="1"/>
  <c r="R14" i="5" s="1"/>
  <c r="S14" i="5" s="1" a="1"/>
  <c r="S14" i="5" s="1"/>
  <c r="P57" i="5" a="1"/>
  <c r="P57" i="5" s="1"/>
  <c r="R57" i="5" s="1" a="1"/>
  <c r="R57" i="5" s="1"/>
  <c r="S57" i="5" s="1" a="1"/>
  <c r="S57" i="5" s="1"/>
  <c r="AB47" i="5"/>
  <c r="P36" i="5" a="1"/>
  <c r="P36" i="5" s="1"/>
  <c r="R36" i="5" s="1" a="1"/>
  <c r="R36" i="5" s="1"/>
  <c r="S36" i="5" s="1" a="1"/>
  <c r="S36" i="5" s="1"/>
  <c r="AB68" i="5"/>
  <c r="P8" i="5" a="1"/>
  <c r="P8" i="5" s="1"/>
  <c r="R8" i="5" s="1" a="1"/>
  <c r="R8" i="5" s="1"/>
  <c r="S8" i="5" s="1" a="1"/>
  <c r="S8" i="5" s="1"/>
  <c r="P52" i="5" a="1"/>
  <c r="P52" i="5" s="1"/>
  <c r="R52" i="5" s="1" a="1"/>
  <c r="R52" i="5" s="1"/>
  <c r="S52" i="5" s="1" a="1"/>
  <c r="S52" i="5" s="1"/>
  <c r="P38" i="5" a="1"/>
  <c r="P38" i="5" s="1"/>
  <c r="R38" i="5" s="1" a="1"/>
  <c r="R38" i="5" s="1"/>
  <c r="S38" i="5" s="1" a="1"/>
  <c r="S38" i="5" s="1"/>
  <c r="P30" i="5" a="1"/>
  <c r="P30" i="5" s="1"/>
  <c r="R30" i="5" s="1" a="1"/>
  <c r="R30" i="5" s="1"/>
  <c r="S30" i="5" s="1" a="1"/>
  <c r="S30" i="5" s="1"/>
  <c r="P17" i="5" a="1"/>
  <c r="P17" i="5" s="1"/>
  <c r="R17" i="5" s="1" a="1"/>
  <c r="R17" i="5" s="1"/>
  <c r="S17" i="5" s="1" a="1"/>
  <c r="S17" i="5" s="1"/>
  <c r="P16" i="5" a="1"/>
  <c r="P16" i="5" s="1"/>
  <c r="R16" i="5" s="1" a="1"/>
  <c r="R16" i="5" s="1"/>
  <c r="S16" i="5" s="1" a="1"/>
  <c r="S16" i="5" s="1"/>
  <c r="P40" i="5" a="1"/>
  <c r="P40" i="5" s="1"/>
  <c r="R40" i="5" s="1" a="1"/>
  <c r="R40" i="5" s="1"/>
  <c r="S40" i="5" s="1" a="1"/>
  <c r="S40" i="5" s="1"/>
  <c r="P28" i="5" a="1"/>
  <c r="P28" i="5" s="1"/>
  <c r="R28" i="5" s="1" a="1"/>
  <c r="R28" i="5" s="1"/>
  <c r="S28" i="5" s="1" a="1"/>
  <c r="S28" i="5" s="1"/>
  <c r="AB74" i="5"/>
  <c r="AB71" i="5"/>
  <c r="AB40" i="5"/>
  <c r="AB23" i="5"/>
  <c r="AB17" i="5"/>
  <c r="AB8" i="5"/>
  <c r="P6" i="5" a="1"/>
  <c r="P6" i="5" s="1"/>
  <c r="R6" i="5" s="1" a="1"/>
  <c r="R6" i="5" s="1"/>
  <c r="S6" i="5" s="1" a="1"/>
  <c r="S6" i="5" s="1"/>
  <c r="P42" i="5" a="1"/>
  <c r="P42" i="5" s="1"/>
  <c r="R42" i="5" s="1" a="1"/>
  <c r="R42" i="5" s="1"/>
  <c r="S42" i="5" s="1" a="1"/>
  <c r="S42" i="5" s="1"/>
  <c r="AB34" i="5"/>
  <c r="P19" i="5" a="1"/>
  <c r="P19" i="5" s="1"/>
  <c r="R19" i="5" s="1" a="1"/>
  <c r="R19" i="5" s="1"/>
  <c r="S19" i="5" s="1" a="1"/>
  <c r="S19" i="5" s="1"/>
  <c r="AB4" i="5"/>
  <c r="P56" i="5" a="1"/>
  <c r="P56" i="5" s="1"/>
  <c r="R56" i="5" s="1" a="1"/>
  <c r="R56" i="5" s="1"/>
  <c r="S56" i="5" s="1" a="1"/>
  <c r="S56" i="5" s="1"/>
  <c r="AB58" i="5"/>
  <c r="AB42" i="5"/>
  <c r="AB19" i="5"/>
  <c r="AB10" i="5"/>
  <c r="P69" i="5" a="1"/>
  <c r="P69" i="5" s="1"/>
  <c r="R69" i="5" s="1" a="1"/>
  <c r="R69" i="5" s="1"/>
  <c r="S69" i="5" s="1" a="1"/>
  <c r="S69" i="5" s="1"/>
  <c r="AB52" i="5"/>
  <c r="AB36" i="5"/>
  <c r="AB24" i="5"/>
  <c r="AB12" i="5"/>
  <c r="AB72" i="5"/>
  <c r="AB43" i="5"/>
  <c r="AB14" i="5"/>
  <c r="AB67" i="5"/>
  <c r="AB51" i="5"/>
  <c r="AB38" i="5"/>
  <c r="AB26" i="5"/>
  <c r="P74" i="5" a="1"/>
  <c r="P74" i="5" s="1"/>
  <c r="R74" i="5" s="1" a="1"/>
  <c r="R74" i="5" s="1"/>
  <c r="S74" i="5" s="1" a="1"/>
  <c r="S74" i="5" s="1"/>
  <c r="P73" i="5" a="1"/>
  <c r="P73" i="5" s="1"/>
  <c r="R73" i="5" s="1" a="1"/>
  <c r="R73" i="5" s="1"/>
  <c r="S73" i="5" s="1" a="1"/>
  <c r="S73" i="5" s="1"/>
  <c r="P70" i="5" a="1"/>
  <c r="P70" i="5" s="1"/>
  <c r="R70" i="5" s="1" a="1"/>
  <c r="R70" i="5" s="1"/>
  <c r="S70" i="5" s="1" a="1"/>
  <c r="S70" i="5" s="1"/>
  <c r="AB66" i="5"/>
  <c r="P63" i="5" a="1"/>
  <c r="P63" i="5" s="1"/>
  <c r="R63" i="5" s="1" a="1"/>
  <c r="R63" i="5" s="1"/>
  <c r="S63" i="5" s="1" a="1"/>
  <c r="S63" i="5" s="1"/>
  <c r="P61" i="5" a="1"/>
  <c r="P61" i="5" s="1"/>
  <c r="R61" i="5" s="1" a="1"/>
  <c r="R61" i="5" s="1"/>
  <c r="S61" i="5" s="1" a="1"/>
  <c r="S61" i="5" s="1"/>
  <c r="P51" i="5" a="1"/>
  <c r="P51" i="5" s="1"/>
  <c r="R51" i="5" s="1" a="1"/>
  <c r="R51" i="5" s="1"/>
  <c r="S51" i="5" s="1" a="1"/>
  <c r="S51" i="5" s="1"/>
  <c r="AB64" i="5"/>
  <c r="AB62" i="5"/>
  <c r="AB60" i="5"/>
  <c r="AB56" i="5"/>
  <c r="P50" i="5" a="1"/>
  <c r="P50" i="5" s="1"/>
  <c r="R50" i="5" s="1" a="1"/>
  <c r="R50" i="5" s="1"/>
  <c r="S50" i="5" s="1" a="1"/>
  <c r="S50" i="5" s="1"/>
  <c r="P21" i="5" a="1"/>
  <c r="P21" i="5" s="1"/>
  <c r="R21" i="5" s="1" a="1"/>
  <c r="R21" i="5" s="1"/>
  <c r="S21" i="5" s="1" a="1"/>
  <c r="S21" i="5" s="1"/>
  <c r="P20" i="5" a="1"/>
  <c r="P20" i="5" s="1"/>
  <c r="R20" i="5" s="1" a="1"/>
  <c r="R20" i="5" s="1"/>
  <c r="S20" i="5" s="1" a="1"/>
  <c r="S20" i="5" s="1"/>
  <c r="P49" i="5" a="1"/>
  <c r="P49" i="5" s="1"/>
  <c r="R49" i="5" s="1" a="1"/>
  <c r="R49" i="5" s="1"/>
  <c r="S49" i="5" s="1" a="1"/>
  <c r="S49" i="5" s="1"/>
  <c r="P23" i="5" a="1"/>
  <c r="P23" i="5" s="1"/>
  <c r="R23" i="5" s="1" a="1"/>
  <c r="R23" i="5" s="1"/>
  <c r="S23" i="5" s="1" a="1"/>
  <c r="S23" i="5" s="1"/>
  <c r="P22" i="5" a="1"/>
  <c r="P22" i="5" s="1"/>
  <c r="R22" i="5" s="1" a="1"/>
  <c r="R22" i="5" s="1"/>
  <c r="S22" i="5" s="1" a="1"/>
  <c r="S22" i="5" s="1"/>
  <c r="P5" i="5" a="1"/>
  <c r="P5" i="5" s="1"/>
  <c r="R5" i="5" s="1" a="1"/>
  <c r="R5" i="5" s="1"/>
  <c r="S5" i="5" s="1" a="1"/>
  <c r="S5" i="5" s="1"/>
  <c r="P24" i="5" a="1"/>
  <c r="P24" i="5" s="1"/>
  <c r="R24" i="5" s="1" a="1"/>
  <c r="R24" i="5" s="1"/>
  <c r="S24" i="5" s="1" a="1"/>
  <c r="S24" i="5" s="1"/>
  <c r="P11" i="5" a="1"/>
  <c r="P11" i="5" s="1"/>
  <c r="R11" i="5" s="1" a="1"/>
  <c r="R11" i="5" s="1"/>
  <c r="S11" i="5" s="1" a="1"/>
  <c r="S11" i="5" s="1"/>
  <c r="AB48" i="5"/>
  <c r="AB44" i="5"/>
  <c r="P41" i="5" a="1"/>
  <c r="P41" i="5" s="1"/>
  <c r="R41" i="5" s="1" a="1"/>
  <c r="R41" i="5" s="1"/>
  <c r="S41" i="5" s="1" a="1"/>
  <c r="S41" i="5" s="1"/>
  <c r="P39" i="5" a="1"/>
  <c r="P39" i="5" s="1"/>
  <c r="R39" i="5" s="1" a="1"/>
  <c r="R39" i="5" s="1"/>
  <c r="S39" i="5" s="1" a="1"/>
  <c r="S39" i="5" s="1"/>
  <c r="P26" i="5" a="1"/>
  <c r="P26" i="5" s="1"/>
  <c r="R26" i="5" s="1" a="1"/>
  <c r="R26" i="5" s="1"/>
  <c r="S26" i="5" s="1" a="1"/>
  <c r="S26" i="5" s="1"/>
  <c r="P18" i="5" a="1"/>
  <c r="P18" i="5" s="1"/>
  <c r="R18" i="5" s="1" a="1"/>
  <c r="R18" i="5" s="1"/>
  <c r="S18" i="5" s="1" a="1"/>
  <c r="S18" i="5" s="1"/>
  <c r="P4" i="5" a="1"/>
  <c r="P4" i="5" s="1"/>
  <c r="R4" i="5" s="1" a="1"/>
  <c r="R4" i="5" s="1"/>
  <c r="S4" i="5" s="1" a="1"/>
  <c r="S4" i="5" s="1"/>
  <c r="P25" i="5" a="1"/>
  <c r="P25" i="5" s="1"/>
  <c r="R25" i="5" s="1" a="1"/>
  <c r="R25" i="5" s="1"/>
  <c r="S25" i="5" s="1" a="1"/>
  <c r="S25" i="5" s="1"/>
  <c r="P7" i="5" a="1"/>
  <c r="P7" i="5" s="1"/>
  <c r="R7" i="5" s="1" a="1"/>
  <c r="R7" i="5" s="1"/>
  <c r="S7" i="5" s="1" a="1"/>
  <c r="S7" i="5" s="1"/>
  <c r="AB50" i="5"/>
  <c r="P48" i="5" a="1"/>
  <c r="P48" i="5" s="1"/>
  <c r="R48" i="5" s="1" a="1"/>
  <c r="R48" i="5" s="1"/>
  <c r="S48" i="5" s="1" a="1"/>
  <c r="S48" i="5" s="1"/>
  <c r="P44" i="5" a="1"/>
  <c r="P44" i="5" s="1"/>
  <c r="R44" i="5" s="1" a="1"/>
  <c r="R44" i="5" s="1"/>
  <c r="S44" i="5" s="1" a="1"/>
  <c r="S44" i="5" s="1"/>
  <c r="P43" i="5" a="1"/>
  <c r="P43" i="5" s="1"/>
  <c r="R43" i="5" s="1" a="1"/>
  <c r="R43" i="5" s="1"/>
  <c r="S43" i="5" s="1" a="1"/>
  <c r="S43" i="5" s="1"/>
  <c r="P34" i="5" a="1"/>
  <c r="P34" i="5" s="1"/>
  <c r="R34" i="5" s="1" a="1"/>
  <c r="R34" i="5" s="1"/>
  <c r="S34" i="5" s="1" a="1"/>
  <c r="S34" i="5" s="1"/>
  <c r="P31" i="5" a="1"/>
  <c r="P31" i="5" s="1"/>
  <c r="R31" i="5" s="1" a="1"/>
  <c r="R31" i="5" s="1"/>
  <c r="S31" i="5" s="1" a="1"/>
  <c r="S31" i="5" s="1"/>
  <c r="P29" i="5" a="1"/>
  <c r="P29" i="5" s="1"/>
  <c r="R29" i="5" s="1" a="1"/>
  <c r="R29" i="5" s="1"/>
  <c r="S29" i="5" s="1" a="1"/>
  <c r="S29" i="5" s="1"/>
  <c r="P27" i="5" a="1"/>
  <c r="P27" i="5" s="1"/>
  <c r="R27" i="5" s="1" a="1"/>
  <c r="R27" i="5" s="1"/>
  <c r="S27" i="5" s="1" a="1"/>
  <c r="S27" i="5" s="1"/>
  <c r="P13" i="5" a="1"/>
  <c r="P13" i="5" s="1"/>
  <c r="R13" i="5" s="1" a="1"/>
  <c r="R13" i="5" s="1"/>
  <c r="S13" i="5" s="1" a="1"/>
  <c r="S13" i="5" s="1"/>
  <c r="P10" i="5" a="1"/>
  <c r="P10" i="5" s="1"/>
  <c r="R10" i="5" s="1" a="1"/>
  <c r="R10" i="5" s="1"/>
  <c r="S10" i="5" s="1" a="1"/>
  <c r="S10" i="5" s="1"/>
  <c r="P9" i="5" a="1"/>
  <c r="P9" i="5" s="1"/>
  <c r="R9" i="5" s="1" a="1"/>
  <c r="R9" i="5" s="1"/>
  <c r="S9" i="5" s="1" a="1"/>
  <c r="S9" i="5" s="1"/>
  <c r="P65" i="5" l="1" a="1"/>
  <c r="P65" i="5" s="1"/>
  <c r="R65" i="5" s="1" a="1"/>
  <c r="R65" i="5" s="1"/>
  <c r="S65" i="5" s="1" a="1"/>
  <c r="S65" i="5" s="1"/>
  <c r="P64" i="5" a="1"/>
  <c r="P64" i="5" s="1"/>
  <c r="R64" i="5" s="1" a="1"/>
  <c r="R64" i="5" s="1"/>
  <c r="S64" i="5" s="1" a="1"/>
  <c r="S64" i="5" s="1"/>
  <c r="P53" i="5" a="1"/>
  <c r="P53" i="5" s="1"/>
  <c r="R53" i="5" s="1" a="1"/>
  <c r="R53" i="5" s="1"/>
  <c r="S53" i="5" s="1" a="1"/>
  <c r="S53" i="5" s="1"/>
  <c r="P15" i="5" a="1"/>
  <c r="P15" i="5" s="1"/>
  <c r="R15" i="5" s="1" a="1"/>
  <c r="R15" i="5" s="1"/>
  <c r="S15" i="5" s="1" a="1"/>
  <c r="S15" i="5" s="1"/>
  <c r="M3" i="5"/>
  <c r="T3" i="5" l="1"/>
  <c r="U3" i="5"/>
  <c r="N3" i="5" s="1" a="1"/>
  <c r="N3" i="5" s="1"/>
  <c r="V3" i="5"/>
  <c r="W3" i="5"/>
  <c r="O3" i="5" s="1" a="1"/>
  <c r="O3" i="5" s="1"/>
  <c r="AA3" i="5" l="1"/>
  <c r="Z3" i="5"/>
  <c r="Y3" i="5"/>
  <c r="X3" i="5"/>
  <c r="Q3" i="5"/>
  <c r="AB3" i="5" l="1"/>
  <c r="F6" i="11" l="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3" i="11"/>
  <c r="F4" i="11"/>
  <c r="F5" i="11"/>
  <c r="E23" i="11" l="1"/>
  <c r="E6" i="11"/>
  <c r="E43" i="11"/>
  <c r="E34" i="11"/>
  <c r="E38" i="11"/>
  <c r="E40" i="11"/>
  <c r="E41" i="11"/>
  <c r="E42" i="11"/>
  <c r="E45" i="11"/>
  <c r="E52" i="11"/>
  <c r="E53" i="11"/>
  <c r="E55" i="11" l="1"/>
  <c r="E51" i="11"/>
  <c r="E35" i="11"/>
  <c r="E36" i="11"/>
  <c r="E37" i="11"/>
  <c r="E29" i="11"/>
  <c r="E18" i="11"/>
  <c r="E50" i="11"/>
  <c r="E10" i="11"/>
  <c r="E49" i="11"/>
  <c r="E39" i="11"/>
  <c r="E26" i="11"/>
  <c r="E44" i="11"/>
  <c r="E56" i="11"/>
  <c r="E48" i="11"/>
  <c r="E25" i="11"/>
  <c r="E58" i="11"/>
  <c r="E14" i="11"/>
  <c r="E21" i="11"/>
  <c r="E47" i="11"/>
  <c r="E32" i="11"/>
  <c r="E16" i="11"/>
  <c r="E54" i="11"/>
  <c r="E46" i="11"/>
  <c r="E31" i="11"/>
  <c r="E59" i="11"/>
  <c r="E61" i="11"/>
  <c r="E13" i="11"/>
  <c r="E62" i="11"/>
  <c r="E5" i="11"/>
  <c r="E30" i="11"/>
  <c r="E57" i="11"/>
  <c r="E22" i="11"/>
  <c r="E27" i="11"/>
  <c r="E15" i="11"/>
  <c r="E10" i="2"/>
  <c r="E14" i="2"/>
  <c r="E13" i="2"/>
  <c r="E4" i="2"/>
  <c r="E32" i="2"/>
  <c r="E19" i="2"/>
  <c r="E7" i="2"/>
  <c r="E31" i="2"/>
  <c r="E17" i="2"/>
  <c r="E8" i="2"/>
  <c r="E18" i="2"/>
  <c r="E28" i="2"/>
  <c r="E30" i="2"/>
  <c r="E16" i="2"/>
  <c r="E6" i="2"/>
  <c r="E24" i="2"/>
  <c r="E27" i="2"/>
  <c r="E15" i="2"/>
  <c r="E5" i="2"/>
  <c r="E26" i="2"/>
  <c r="E9" i="2"/>
  <c r="E22" i="2"/>
  <c r="E11" i="2"/>
  <c r="E25" i="2"/>
  <c r="E21" i="2"/>
  <c r="E29" i="2"/>
  <c r="E12" i="2"/>
  <c r="E33" i="2"/>
  <c r="E20" i="2"/>
  <c r="E23" i="2"/>
  <c r="E34" i="2" l="1"/>
  <c r="E3" i="11"/>
  <c r="E20" i="11"/>
  <c r="E33" i="11"/>
  <c r="E24" i="11"/>
  <c r="E4" i="11"/>
  <c r="E17" i="11"/>
  <c r="E12" i="11"/>
  <c r="E19" i="11"/>
  <c r="E28" i="11"/>
  <c r="E7" i="11"/>
  <c r="E9" i="11"/>
  <c r="E11" i="11"/>
  <c r="E8" i="11"/>
  <c r="E60" i="11"/>
  <c r="P3" i="5" a="1"/>
  <c r="P3" i="5" s="1"/>
  <c r="R3" i="5" s="1" a="1"/>
  <c r="R3" i="5" s="1"/>
  <c r="S3" i="5" s="1" a="1"/>
  <c r="S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Q2" authorId="0" shapeId="0" xr:uid="{E36470AC-CCC3-4F70-B30B-612ADEFE972C}">
      <text>
        <r>
          <rPr>
            <b/>
            <sz val="9"/>
            <color indexed="81"/>
            <rFont val="Tahoma"/>
            <family val="2"/>
          </rPr>
          <t>Administrator:</t>
        </r>
        <r>
          <rPr>
            <sz val="9"/>
            <color indexed="81"/>
            <rFont val="Tahoma"/>
            <family val="2"/>
          </rPr>
          <t xml:space="preserve">
Khi can them y kien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J2" authorId="0" shapeId="0" xr:uid="{A8494182-5E03-46AC-9529-E1D8BE063E79}">
      <text>
        <r>
          <rPr>
            <b/>
            <sz val="9"/>
            <color indexed="81"/>
            <rFont val="Tahoma"/>
            <family val="2"/>
          </rPr>
          <t>Administrator:</t>
        </r>
        <r>
          <rPr>
            <sz val="9"/>
            <color indexed="81"/>
            <rFont val="Tahoma"/>
            <family val="2"/>
          </rPr>
          <t xml:space="preserve">
Thứ tự cột trên sheet Registration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<sst xmlns="http://schemas.openxmlformats.org/spreadsheetml/2006/main" count="2291" uniqueCount="494">
  <si>
    <t>PROJECTS INFORMATION</t>
  </si>
  <si>
    <t>Mã đề tài</t>
  </si>
  <si>
    <t>Tên đề tài Tiếng Anh/ Tiếng Nhật</t>
  </si>
  <si>
    <t>Tên đề tài Tiếng Việt</t>
  </si>
  <si>
    <t>GVHD</t>
  </si>
  <si>
    <t>Reviewer 2</t>
  </si>
  <si>
    <t>Conflict</t>
  </si>
  <si>
    <t>Lê Vũ Trường</t>
  </si>
  <si>
    <t>TruongLV</t>
  </si>
  <si>
    <t>Nguyễn Thế Hoàng</t>
  </si>
  <si>
    <t>HoangNT</t>
  </si>
  <si>
    <t>Nguyễn Thị Cẩm Hương</t>
  </si>
  <si>
    <t>NguyenTT</t>
  </si>
  <si>
    <t>Trương Long</t>
  </si>
  <si>
    <t>LongT</t>
  </si>
  <si>
    <t>Kiều Trọng Khánh</t>
  </si>
  <si>
    <t>KhanhKT</t>
  </si>
  <si>
    <t>Võ Thị Thanh Vân</t>
  </si>
  <si>
    <t>VanVTT</t>
  </si>
  <si>
    <t>PhuongLHK</t>
  </si>
  <si>
    <t>Lâm Hữu Khánh Phương</t>
  </si>
  <si>
    <t>Hồ Hoàn Kiếm</t>
  </si>
  <si>
    <t>KiemHH</t>
  </si>
  <si>
    <t>Nguyễn Trọng Tài</t>
  </si>
  <si>
    <t>TaiNT</t>
  </si>
  <si>
    <t>Đỗ Tấn Nhàn</t>
  </si>
  <si>
    <t>NhanDT</t>
  </si>
  <si>
    <t>Nguyễn Trí Thông</t>
  </si>
  <si>
    <t>ThongNT</t>
  </si>
  <si>
    <t>DuongVTT</t>
  </si>
  <si>
    <t>DucDNM</t>
  </si>
  <si>
    <t>NguyenLP</t>
  </si>
  <si>
    <t>SangNM</t>
  </si>
  <si>
    <t>Lại Đức Hùng</t>
  </si>
  <si>
    <t>HungLD</t>
  </si>
  <si>
    <t>Vũ Thị Thùy Dương</t>
  </si>
  <si>
    <t>LamNN</t>
  </si>
  <si>
    <t>TrungNQ</t>
  </si>
  <si>
    <t>STT</t>
  </si>
  <si>
    <t>Name</t>
  </si>
  <si>
    <t>SỐ SLOT</t>
  </si>
  <si>
    <t>HieuTQ</t>
  </si>
  <si>
    <t>NgocTTM</t>
  </si>
  <si>
    <t>SuTV</t>
  </si>
  <si>
    <t>VanTTN</t>
  </si>
  <si>
    <t>PhucNT</t>
  </si>
  <si>
    <t>NhatNPQ</t>
  </si>
  <si>
    <t>HongHX</t>
  </si>
  <si>
    <t>QuanTP</t>
  </si>
  <si>
    <t>BinhNN</t>
  </si>
  <si>
    <t>Department</t>
  </si>
  <si>
    <t>CF</t>
  </si>
  <si>
    <t>ITS</t>
  </si>
  <si>
    <t>SE</t>
  </si>
  <si>
    <t>Reviewer</t>
  </si>
  <si>
    <t>Nguyễn Minh Sang</t>
  </si>
  <si>
    <t>Nguyễn Ngọc Lâm</t>
  </si>
  <si>
    <t>Thân Thị Ngọc Vân</t>
  </si>
  <si>
    <t>Trương Thị Mỹ Ngọc</t>
  </si>
  <si>
    <t>Bird Club System</t>
  </si>
  <si>
    <t>x</t>
  </si>
  <si>
    <t>No</t>
  </si>
  <si>
    <t>NguHCV</t>
  </si>
  <si>
    <t>ChiLTQ</t>
  </si>
  <si>
    <t>Part-Time</t>
  </si>
  <si>
    <t>SUM</t>
  </si>
  <si>
    <t>Spring2024SE001</t>
  </si>
  <si>
    <t>Spring2024SE002</t>
  </si>
  <si>
    <t>Spring2024SE003</t>
  </si>
  <si>
    <t>Spring2024SE004</t>
  </si>
  <si>
    <t>Spring2024SE005</t>
  </si>
  <si>
    <t>Spring2024SE006</t>
  </si>
  <si>
    <t>Spring2024SE007</t>
  </si>
  <si>
    <t>Spring2024SE008</t>
  </si>
  <si>
    <t>Spring2024SE009</t>
  </si>
  <si>
    <t>Spring2024SE010</t>
  </si>
  <si>
    <t>Spring2024SE011</t>
  </si>
  <si>
    <t>Spring2024SE012</t>
  </si>
  <si>
    <t>Spring2024SE013</t>
  </si>
  <si>
    <t>Spring2024SE014</t>
  </si>
  <si>
    <t>Spring2024SE015</t>
  </si>
  <si>
    <t>Spring2024SE016</t>
  </si>
  <si>
    <t>Spring2024SE017</t>
  </si>
  <si>
    <t>Spring2024SE018</t>
  </si>
  <si>
    <t>Spring2024SE019</t>
  </si>
  <si>
    <t>Spring2024SE020</t>
  </si>
  <si>
    <t>Spring2024SE021</t>
  </si>
  <si>
    <t>Netcompany Social Suggestion</t>
  </si>
  <si>
    <t>Backpacking Trip Supporting System</t>
  </si>
  <si>
    <t>The electronic class diary for high school students</t>
  </si>
  <si>
    <t>Building a smart home equipment business management system and installing equipment for households at Phat Dat store in Ho Chi Minh City</t>
  </si>
  <si>
    <t>HomeTravel - Platform connecting tourists with homestays</t>
  </si>
  <si>
    <t>Building an application to find workers for the construction industry</t>
  </si>
  <si>
    <t>Bean Hop coffee management system</t>
  </si>
  <si>
    <t>Building an outdoor fire warning solution using cameras (Fire alarm camera solution)</t>
  </si>
  <si>
    <t>Computer Geared - App for Building PC</t>
  </si>
  <si>
    <t>Exercise Buddy - App for Finding and Motivating Workout Partners</t>
  </si>
  <si>
    <t>Building The Logistics Management Application of Nhat Loc Phat Transportation Company</t>
  </si>
  <si>
    <t>Building an online motel rental system</t>
  </si>
  <si>
    <t>Building The Events Organizer Management Application</t>
  </si>
  <si>
    <t>Magic Land System</t>
  </si>
  <si>
    <t>Build a manufacturing management system for Visual.vn fashion local brand</t>
  </si>
  <si>
    <t>ETailor-Order Management and Tracking System for Tuệ Tailor Shop.</t>
  </si>
  <si>
    <t>Build a management system for a chain of stores that offer services for receiving and processing payments for e-commerce</t>
  </si>
  <si>
    <t>outfit foryou</t>
  </si>
  <si>
    <t>ElderlyCare.</t>
  </si>
  <si>
    <t>SocialTrafficSystem</t>
  </si>
  <si>
    <t>Building a management system for TTK Music Center_TruongLV11</t>
  </si>
  <si>
    <t>Nguyễn Tấn Phúc/ Đỗ Đức Hào</t>
  </si>
  <si>
    <t>Spring2024SE051</t>
  </si>
  <si>
    <t>PagePals</t>
  </si>
  <si>
    <t>Spring2024SE052</t>
  </si>
  <si>
    <t>Building A Website Teach Children Programming Thinking Through Practice Games</t>
  </si>
  <si>
    <t>Spring2024SE053</t>
  </si>
  <si>
    <t>Building A Human Resource Management System For Children's Technology Center</t>
  </si>
  <si>
    <t>Spring2024SE054</t>
  </si>
  <si>
    <t>Building A Form Law Service Support System for Basico Law Firm</t>
  </si>
  <si>
    <t>Spring2024SE055</t>
  </si>
  <si>
    <t>Building a Lotus House Rentals Management System in Ho Chi Minh City</t>
  </si>
  <si>
    <t>Spring2024SE056</t>
  </si>
  <si>
    <t>Simply Mono chord</t>
  </si>
  <si>
    <t>Spring2024SE057</t>
  </si>
  <si>
    <t>Group Study</t>
  </si>
  <si>
    <t>Spring2024SE058</t>
  </si>
  <si>
    <t>Build a system to monitor, manage, and configure remote servers through a web app interface for small and medium-sized businesses.</t>
  </si>
  <si>
    <t>Spring2024SE059</t>
  </si>
  <si>
    <t>Building a customer care management application through a telephone switchboard for Vietnam Construction and Environmental Industry Joint Stock Company</t>
  </si>
  <si>
    <t>Spring2024SE060</t>
  </si>
  <si>
    <t>Journese_Smart Trip Planner</t>
  </si>
  <si>
    <t>Spring2024SE061</t>
  </si>
  <si>
    <t>Artworkia - Artworks Sharing Platform</t>
  </si>
  <si>
    <t>Spring2024SE062</t>
  </si>
  <si>
    <t>Power Management System for MDF-FSC Wooden Board Factory of Kim Tin Group Corporation.</t>
  </si>
  <si>
    <t>Spring2024SE063</t>
  </si>
  <si>
    <t>Live Event Aggregator for streamer</t>
  </si>
  <si>
    <t>Spring2024SE064</t>
  </si>
  <si>
    <t>eFurniture</t>
  </si>
  <si>
    <t>Spring2024SE065</t>
  </si>
  <si>
    <t>Spring2024SE066</t>
  </si>
  <si>
    <t>Bird Cage Shop System</t>
  </si>
  <si>
    <t>Spring2024SE067</t>
  </si>
  <si>
    <t>Bird Farm Meal System</t>
  </si>
  <si>
    <t>Spring2024SE068</t>
  </si>
  <si>
    <t>Bird Farm Reproduction System</t>
  </si>
  <si>
    <t>Spring2024SE069</t>
  </si>
  <si>
    <t>Booking Application Birthday Party Customization for Kids</t>
  </si>
  <si>
    <t>Spring2024SE070</t>
  </si>
  <si>
    <t>GenZ Styles App</t>
  </si>
  <si>
    <t>Spring2024SE071</t>
  </si>
  <si>
    <t>Building a customer management system for the E1 Cardio gym chain</t>
  </si>
  <si>
    <t>Spring2024SE072</t>
  </si>
  <si>
    <t>Camera AI customer and employee behaviors detection solution for coffee chains</t>
  </si>
  <si>
    <t>Spring2024SE073</t>
  </si>
  <si>
    <t>UsStudy - The platform provides information and connects Vietnamese students with study abroad programs in the US</t>
  </si>
  <si>
    <t>Spring2024SE074</t>
  </si>
  <si>
    <t>Build a weekly ready-to-cook food package e-commerce website with recipe sharing </t>
  </si>
  <si>
    <t>Spring2024SE075</t>
  </si>
  <si>
    <t>F&amp;B ordering application with pickup model for customer using public transportation.</t>
  </si>
  <si>
    <t>Spring2024SE076</t>
  </si>
  <si>
    <t>Pet Coffee Platform</t>
  </si>
  <si>
    <t>Spring2024SE077</t>
  </si>
  <si>
    <t>ThinkTank - Memory Training Games</t>
  </si>
  <si>
    <t>Spring2024SE078</t>
  </si>
  <si>
    <t>System for creating Multiple-Choice paper exams for high school teachers with AI-Assisted app for grading</t>
  </si>
  <si>
    <t>Spring2024SE079</t>
  </si>
  <si>
    <t>Selling bonsai system, along with providing bonsai care services and garden maintenance by Thanh Son Garden Company (Duc Trong, Lam Dong)</t>
  </si>
  <si>
    <t>Spring2024SE080</t>
  </si>
  <si>
    <t>UniBean- Platform to accumulate points and redeem gifts for university students in Ho Chi Minh City</t>
  </si>
  <si>
    <t>Spring2024SE081</t>
  </si>
  <si>
    <t>Building an e-commerce system to buy and sell agricultural products from farms to apartment residents</t>
  </si>
  <si>
    <t>Spring2024SE082</t>
  </si>
  <si>
    <t>BeanFast - Breakfast ordering and delivery system for students in primary school from nearby cloud kitchen</t>
  </si>
  <si>
    <t>Spring2024SE101</t>
  </si>
  <si>
    <t xml:space="preserve">Management system for purchasing raw materials for production of cake factories </t>
  </si>
  <si>
    <t>Tran Thanh Nguyen</t>
  </si>
  <si>
    <t>Spring2024SE102</t>
  </si>
  <si>
    <t xml:space="preserve">Online fashion retail system integrating AI for virtual try-on experience </t>
  </si>
  <si>
    <t>Spring2024SE103</t>
  </si>
  <si>
    <t>The factory's cake production process management system</t>
  </si>
  <si>
    <t>Spring2024SE104</t>
  </si>
  <si>
    <t>Tourism service management software for Loan Vo Tourism and Services Company Limited</t>
  </si>
  <si>
    <t>Ngo Dang Ha An</t>
  </si>
  <si>
    <t>Spring2024SE105</t>
  </si>
  <si>
    <t>Build a doctor appointment system for Khai Nguyen clinic chains in Binh Phuoc Province</t>
  </si>
  <si>
    <t>Spring2024SE106</t>
  </si>
  <si>
    <t>Application Connecting Drivers with Passengers who Unable to Drive</t>
  </si>
  <si>
    <t>Nguyễn Thị Cẩm Hương/Lê Thị Quỳnh Chi</t>
  </si>
  <si>
    <t>Reviewer1</t>
  </si>
  <si>
    <t>Result 1</t>
  </si>
  <si>
    <t>ĐÁNH GIÁ ĐỀ TÀI CAPSTONE PROJECT - NGÀNH SE</t>
  </si>
  <si>
    <t>Question</t>
  </si>
  <si>
    <t>Tên đề tài (project title) có phản ánh được định hướng thực hiện nghiên cứu và phát triển sản phẩm của nhóm SV ?</t>
  </si>
  <si>
    <t>Ngữ cảnh (context) nơi sản phẩm được triển khai có được xác định cụ thể?</t>
  </si>
  <si>
    <t>Vấn đề cần giải quyết (problem statement) có được mô tả rõ ràng là động lực cho việc ra đời của sản phẩm?</t>
  </si>
  <si>
    <t>Người dùng chính (main actors) có được xác định trong đề tài?</t>
  </si>
  <si>
    <t>Các luồng xử lý chính (main flows) và các chức năng chính (main usescases)  của người dùng có được mô tả ?</t>
  </si>
  <si>
    <t>Khách hàng/người tài trợ (customers/sponsors) của đề tài có được xác định?</t>
  </si>
  <si>
    <t>Hướng tiếp cận (Approach) về lý thuyết (theory),công nghệ áp dụng (applied technology)   và các sản phẩm cần tạo ra trong đề tài (main deliverables) có được xác định và phù hợp?</t>
  </si>
  <si>
    <t>Phạm vi đề tài (Scope) và độ lớn của sản phẩm (size of product) có khả thi và phù hợp cho nhóm (3-5) SV thực hiện trong 14 tuần ? Có phân chia thành các gói packages để đánh giá?</t>
  </si>
  <si>
    <t>Độ phức tạp và tính kỹ thuật (Complexity/technicality) củ đề là phù hợp với yêu cầu năng lực của 1 đề tài Capstone project cho ngành Kỹ thuật phần mềm?</t>
  </si>
  <si>
    <t xml:space="preserve"> Đề tài xây dựng hướng đến việc giải quyết các vấn đề thực tế (Applicability) và khả thi về mặt công nghệ (technologically feasible) trong giới hạn thời gian của dự án?</t>
  </si>
  <si>
    <t>Kết quả</t>
  </si>
  <si>
    <t>Nhận xét/đánh giá</t>
  </si>
  <si>
    <t>Spring2024SE022</t>
  </si>
  <si>
    <t>Perfect Breakfast</t>
  </si>
  <si>
    <t>Result3-Opt</t>
  </si>
  <si>
    <t>Reviewer 3 (Opt)</t>
  </si>
  <si>
    <t>Result2</t>
  </si>
  <si>
    <t>Final Result</t>
  </si>
  <si>
    <t>Comment 1</t>
  </si>
  <si>
    <t>Comment 2</t>
  </si>
  <si>
    <t>Comment 3</t>
  </si>
  <si>
    <t>Comment 4</t>
  </si>
  <si>
    <t>Final Score</t>
  </si>
  <si>
    <t>Score12</t>
  </si>
  <si>
    <t>Comment</t>
  </si>
  <si>
    <t xml:space="preserve">Tên đề tài </t>
  </si>
  <si>
    <t>AnNDH2</t>
  </si>
  <si>
    <t>Sup1</t>
  </si>
  <si>
    <t>Sup2</t>
  </si>
  <si>
    <t>TriPT9</t>
  </si>
  <si>
    <t>TaiNT51</t>
  </si>
  <si>
    <t xml:space="preserve">Submit </t>
  </si>
  <si>
    <t>QuynhTNN4</t>
  </si>
  <si>
    <t>DucDNM2</t>
  </si>
  <si>
    <t>HuongNTC2</t>
  </si>
  <si>
    <t>GVHD1</t>
  </si>
  <si>
    <t>GVHD2</t>
  </si>
  <si>
    <t>Trần Trọng Huỳnh</t>
  </si>
  <si>
    <t>FA25SE001</t>
  </si>
  <si>
    <t>FA25SE002</t>
  </si>
  <si>
    <t>FA25SE003</t>
  </si>
  <si>
    <t>FA25SE004</t>
  </si>
  <si>
    <t>FA25SE005</t>
  </si>
  <si>
    <t>FA25SE006</t>
  </si>
  <si>
    <t>FA25SE007</t>
  </si>
  <si>
    <t>FA25SE008</t>
  </si>
  <si>
    <t>FA25SE009</t>
  </si>
  <si>
    <t>FA25SE010</t>
  </si>
  <si>
    <t>FA25SE011</t>
  </si>
  <si>
    <t>FA25SE012</t>
  </si>
  <si>
    <t>FA25SE013</t>
  </si>
  <si>
    <t>FA25SE014</t>
  </si>
  <si>
    <t>FA25SE015</t>
  </si>
  <si>
    <t>FA25SE016</t>
  </si>
  <si>
    <t>FA25SE017</t>
  </si>
  <si>
    <t>FA25SE018</t>
  </si>
  <si>
    <t>FA25SE019</t>
  </si>
  <si>
    <t>FA25SE020</t>
  </si>
  <si>
    <t>FA25SE021</t>
  </si>
  <si>
    <t>FA25SE022</t>
  </si>
  <si>
    <t>FA25SE023</t>
  </si>
  <si>
    <t>FA25SE024</t>
  </si>
  <si>
    <t>FA25SE025</t>
  </si>
  <si>
    <t>FA25SE026</t>
  </si>
  <si>
    <t>FA25SE027</t>
  </si>
  <si>
    <t>FA25SE028</t>
  </si>
  <si>
    <t>FA25SE029</t>
  </si>
  <si>
    <t>FA25SE030</t>
  </si>
  <si>
    <t>FA25SE031</t>
  </si>
  <si>
    <t>FA25SE032</t>
  </si>
  <si>
    <t>FA25SE033</t>
  </si>
  <si>
    <t>FA25SE034</t>
  </si>
  <si>
    <t>FA25SE035</t>
  </si>
  <si>
    <t>FA25SE036</t>
  </si>
  <si>
    <t>FA25SE037</t>
  </si>
  <si>
    <t>FA25SE038</t>
  </si>
  <si>
    <t>FA25SE039</t>
  </si>
  <si>
    <t>FA25SE040</t>
  </si>
  <si>
    <t>FA25SE041</t>
  </si>
  <si>
    <t>FA25SE042</t>
  </si>
  <si>
    <t>FA25SE043</t>
  </si>
  <si>
    <t>FA25SE044</t>
  </si>
  <si>
    <t>FA25SE045</t>
  </si>
  <si>
    <t>FA25SE046</t>
  </si>
  <si>
    <t>FA25SE047</t>
  </si>
  <si>
    <t>FA25SE048</t>
  </si>
  <si>
    <t>Nguyễn Quốc Trung</t>
  </si>
  <si>
    <t>FA25SE049</t>
  </si>
  <si>
    <t>FA25SE050</t>
  </si>
  <si>
    <t>FA25SE051</t>
  </si>
  <si>
    <t>FA25SE052</t>
  </si>
  <si>
    <t>FA25SE053</t>
  </si>
  <si>
    <t>FA25SE054</t>
  </si>
  <si>
    <t>FA25SE055</t>
  </si>
  <si>
    <t>FA25SE056</t>
  </si>
  <si>
    <t>FA25SE057</t>
  </si>
  <si>
    <t>FA25SE058</t>
  </si>
  <si>
    <t>FA25SE059</t>
  </si>
  <si>
    <t>FA25SE060</t>
  </si>
  <si>
    <t>FA25SE061</t>
  </si>
  <si>
    <t>FA25SE062</t>
  </si>
  <si>
    <t>FA25SE063</t>
  </si>
  <si>
    <t>FA25SE064</t>
  </si>
  <si>
    <t>FA25SE065</t>
  </si>
  <si>
    <t>FA25SE066</t>
  </si>
  <si>
    <t>FA25SE067</t>
  </si>
  <si>
    <t>FA25SE068</t>
  </si>
  <si>
    <t>FA25SE069</t>
  </si>
  <si>
    <t>FA25SE070</t>
  </si>
  <si>
    <t>FA25SE071</t>
  </si>
  <si>
    <t>FA25SE072</t>
  </si>
  <si>
    <t>FA25SE073</t>
  </si>
  <si>
    <t>FA25SE074</t>
  </si>
  <si>
    <t>FA25SE075</t>
  </si>
  <si>
    <t>FA25SE076</t>
  </si>
  <si>
    <t>Lý Tuấn Anh</t>
  </si>
  <si>
    <t>FA25SE077</t>
  </si>
  <si>
    <t>FA25SE078</t>
  </si>
  <si>
    <t>FA25SE079</t>
  </si>
  <si>
    <t>FA25SE080</t>
  </si>
  <si>
    <t>FA25SE081</t>
  </si>
  <si>
    <t>FA25SE082</t>
  </si>
  <si>
    <t>FA25SE083</t>
  </si>
  <si>
    <t>FA25SE084</t>
  </si>
  <si>
    <t>FA25SE085</t>
  </si>
  <si>
    <t>FA25SE086</t>
  </si>
  <si>
    <t>FA25SE087</t>
  </si>
  <si>
    <t>FA25SE088</t>
  </si>
  <si>
    <t>FA25SE089</t>
  </si>
  <si>
    <t>FA25SE090</t>
  </si>
  <si>
    <t>FA25SE091</t>
  </si>
  <si>
    <t>FA25SE092</t>
  </si>
  <si>
    <t>FA25SE093</t>
  </si>
  <si>
    <t>FA25SE094</t>
  </si>
  <si>
    <t>FA25SE095</t>
  </si>
  <si>
    <t>FA25SE096</t>
  </si>
  <si>
    <t>FA25SE097</t>
  </si>
  <si>
    <t>FA25SE098</t>
  </si>
  <si>
    <t>FA25SE099</t>
  </si>
  <si>
    <t>FA25SE100</t>
  </si>
  <si>
    <t>FA25SE101</t>
  </si>
  <si>
    <t>FA25SE102</t>
  </si>
  <si>
    <t>FA25SE103</t>
  </si>
  <si>
    <t>FA25SE104</t>
  </si>
  <si>
    <t>FA25SE105</t>
  </si>
  <si>
    <t>FA25SE106</t>
  </si>
  <si>
    <t>FA25SE107</t>
  </si>
  <si>
    <t>FA25SE108</t>
  </si>
  <si>
    <t>FA25SE109</t>
  </si>
  <si>
    <t>FA25SE110</t>
  </si>
  <si>
    <t>FA25SE111</t>
  </si>
  <si>
    <t>FA25SE112</t>
  </si>
  <si>
    <t>FA25SE113</t>
  </si>
  <si>
    <t>FA25SE114</t>
  </si>
  <si>
    <t>FA25SE115</t>
  </si>
  <si>
    <t>FA25SE116</t>
  </si>
  <si>
    <t>FA25SE117</t>
  </si>
  <si>
    <t>FA25SE118</t>
  </si>
  <si>
    <t>FA25SE119</t>
  </si>
  <si>
    <t>FA25SE120</t>
  </si>
  <si>
    <t>FA25SE121</t>
  </si>
  <si>
    <t>FA25SE122</t>
  </si>
  <si>
    <t>FA25SE123</t>
  </si>
  <si>
    <t>FA25SE124</t>
  </si>
  <si>
    <t>FA25SE125</t>
  </si>
  <si>
    <t>FA25SE126</t>
  </si>
  <si>
    <t>FA25SE127</t>
  </si>
  <si>
    <t>FA25SE128</t>
  </si>
  <si>
    <t>FA25SE129</t>
  </si>
  <si>
    <t>FA25SE130</t>
  </si>
  <si>
    <t>FA25SE131</t>
  </si>
  <si>
    <t>FA25SE132</t>
  </si>
  <si>
    <t>FA25SE133</t>
  </si>
  <si>
    <t>FA25SE134</t>
  </si>
  <si>
    <t>FA25SE135</t>
  </si>
  <si>
    <t>FA25SE136</t>
  </si>
  <si>
    <t>FA25SE137</t>
  </si>
  <si>
    <t>FA25SE138</t>
  </si>
  <si>
    <t>FA25SE139</t>
  </si>
  <si>
    <t>FA25SE140</t>
  </si>
  <si>
    <t>FA25SE141</t>
  </si>
  <si>
    <t>FA25SE142</t>
  </si>
  <si>
    <t>FA25SE143</t>
  </si>
  <si>
    <t>FA25SE144</t>
  </si>
  <si>
    <t>FA25SE145</t>
  </si>
  <si>
    <t>FA25SE146</t>
  </si>
  <si>
    <t>FA25SE147</t>
  </si>
  <si>
    <t>FA25SE148</t>
  </si>
  <si>
    <t>FA25SE149</t>
  </si>
  <si>
    <t>FA25SE150</t>
  </si>
  <si>
    <t>FA25SE151</t>
  </si>
  <si>
    <t>FA25SE152</t>
  </si>
  <si>
    <t>FA25SE153</t>
  </si>
  <si>
    <t>X</t>
  </si>
  <si>
    <t>N/A</t>
  </si>
  <si>
    <t>Pass</t>
  </si>
  <si>
    <t>Not Pass</t>
  </si>
  <si>
    <t>Consider</t>
  </si>
  <si>
    <t>Xem lại tên đề tài "Xây Dựng Cho Thuê Xe Ô Tô Trực Tuyến" cũng như mô tả rõ hơn các quy tắc nghiệp vụ, luồng xử lý chính</t>
  </si>
  <si>
    <t>Nên mô tả rõ hơn các quy trình nghiệp vụ</t>
  </si>
  <si>
    <t>Không thấy file đăng ký đề tài</t>
  </si>
  <si>
    <t>Nên mô tả rõ thêm về các main-flow</t>
  </si>
  <si>
    <t>Nên mô tả rõ thêm về các main-flow  cũng như quy tắc nghiệp vụ liên quan tới thanh toán</t>
  </si>
  <si>
    <t xml:space="preserve">Nên mô tả rõ thêm về các main-flow </t>
  </si>
  <si>
    <t>Cần mô tả rõ hơn các quy trình nghiệp vụ và phạm vi của ĐATN (khá đơn giản)</t>
  </si>
  <si>
    <t>Cần mô tả rõ hơn các quy trình nghiệp vụP</t>
  </si>
  <si>
    <t>hạm vi của ĐATN khá chung chung với hình ảnh y khoa. Chỉ nên tập trung vào nhóm ảnh cụ thể</t>
  </si>
  <si>
    <t>Cần mô tả rõ thêm về các main-flow</t>
  </si>
  <si>
    <t>Phạm vi khá rộng và chung chung. Nên tập trung vào chủng loại nguyên liệu cụ thể của lãnh vực sản xuất nào đó</t>
  </si>
  <si>
    <t>Cần mô tả rõ thêm về các main-flow và phạm vi khá chung chung</t>
  </si>
  <si>
    <t>O</t>
  </si>
  <si>
    <t>consider</t>
  </si>
  <si>
    <t xml:space="preserve">Đề tài đã thực hiện 2 lần thành công &amp; là đề tài SWP391. Cần cân nhắc. </t>
  </si>
  <si>
    <t>Cần cân nhắc, đề tài đã thực hiện nhiều lần. Bổ sung tính năng mới, kết hợp AI</t>
  </si>
  <si>
    <t>Đề tài đã duyệt kỳ trước. AI đang phát triển, những đề tài như vậy ở thời điểm này nên bổ sung công nghệ để tăng cường tích hợp AI, nếu không sẽ đơn giản và không đáp ứng nhu cầu tuyển dụng.</t>
  </si>
  <si>
    <t>Cần mô tả rõ hơn phần tính năng cho thấy sự khác biệt với các hệ thống quản lý nhân sự thông thường. Có thể tích hợp các công nghệ để quản lý NS.</t>
  </si>
  <si>
    <t>File đăng ký để tên 1 GVHD nhưng trên danh sách excel để tên 2 GV?. Cần cập nhật cho đúng để thống kê và quản lý. Đề tài chưa nêu rõ ngữ cảnh áp dụng hệ thống. Đây là nơi có đầy đủ products để tạo event cosplay và cho thuê service hay là platform cho nhiều nhà cung cấp tham gia ?</t>
  </si>
  <si>
    <t>Đề tài có gắn "thông minh" nhưng phần mô tả chưa thấy tính năng thông minh ngoại trừ quét QR.</t>
  </si>
  <si>
    <t>Phần solution ghi "2. Integrate AI for melody recognition and personalized recommendations." nhưng phần chức năng không có một đề cập nào liên quan. Cần điều chỉnh cho đúng scope.</t>
  </si>
  <si>
    <t>Phần solution và Package đều ghi tích hợp AI nhưng phần chức năng không mô tả. Đề tài không nói rõ trại hè cho đối tượng nào? Không xác định được scope</t>
  </si>
  <si>
    <t>Đềtài không có các task package chính để đánh giá liên quan đến phần mô tả Features. Cần viết lại súc tích hơn, việc mô tả dài dòng sẽ khó cho việc đánh giá kết quả thực hiện của nhóm.</t>
  </si>
  <si>
    <t>không tìm thấy đề tài 13</t>
  </si>
  <si>
    <t>Cần bổ sung nghiệp vụ để thể hiện hệ thống dành cho cơm tấm, nếu không SV có thể clone từ bất kỳ hệ thống bán hàng thông thường</t>
  </si>
  <si>
    <t>đề tài quá rộng và không biết phải giải quyết bài toán business nào</t>
  </si>
  <si>
    <t>Đề tài còn chứa nhiều chỗ comments. Cần chỉnh sửa và review lại</t>
  </si>
  <si>
    <t>Đề tài thuộc nhóm đề tài SWP391</t>
  </si>
  <si>
    <t>Đề tài hơi khó để SV thực hiện thành công</t>
  </si>
  <si>
    <t>1. Đề tài lớn</t>
  </si>
  <si>
    <t>2. Đề tài không nêu rõ hệ thống kho hàng  loại nào, sẽ khó xác định nghiệp vụ.</t>
  </si>
  <si>
    <t>3. Đề tài mô tả rất dài nhưng không có các task package để kiểm chứng output</t>
  </si>
  <si>
    <t>Cần làm rõ yếu tố đánh giá: Code sinh ra từ AI và code tự viết, làm sao để đánh giá kỹ năng???</t>
  </si>
  <si>
    <t>Nên điều chỉnh NFC card thành công nghệ khác. Check attendance có thể không dùng NFC card mà???</t>
  </si>
  <si>
    <t>Đề tài quản lý nhân sự nhưng tập trung vào quản lý tuyển dụng qua CV. Extract CV dùng AI không còn tốn quá nhiều effort nữa.</t>
  </si>
  <si>
    <t>Cần làm rõ dữ liệu của trạm sạc từ đâu? Từ công ty hay từ cá nhân gia đình, vì nhiều yếu tố pháp lý, hệ thống chi trả và thuế</t>
  </si>
  <si>
    <t>Cân nhắc tính năng ứng dụng AI vào đề tài vì đề tài không có tính mới, ghi nhận hành trình, tổng km lái thật, học thật,…., điều này cũng trùng khớp với quy định học lái oto</t>
  </si>
  <si>
    <t>Scope hơi rộng vì Giáo dục công nghệ phần mềm có nội dung, kiến thức liên quan</t>
  </si>
  <si>
    <t>Đề tài chưa nêu rõ cách ghi nhận video của hệ thống</t>
  </si>
  <si>
    <t>không tìm thấy 075</t>
  </si>
  <si>
    <t>không tìm thấy 076</t>
  </si>
  <si>
    <t>- CẦN CÂN NHẮC THẬT KỸ VỀ vấn đề về bản quyền và SHTT vì vấn đề này rất nhạy cảm với các trang web lậu đã bị bắt khi làm về vấn đề này. Đây là một trong qui định đã được ban hành khi làm và chịu trách nhiệm về đề tài.</t>
  </si>
  <si>
    <t>- Cần mô tả flow tương tác của các actor cùng với chức năng của ứng dụng</t>
  </si>
  <si>
    <t>- Đề tài có nhưng nội dung không liên quan "Collectors to trade products"</t>
  </si>
  <si>
    <t>- Đề tài chỉ là việc quản lý học viên tương tự quản lý phòng gym, học bơi thì quản lý trên app với cách mô tả trên proposal không hợp lý</t>
  </si>
  <si>
    <t>- Loại đề tài này đề tránh nhân bản vì chỉ là quản lý học viên người học</t>
  </si>
  <si>
    <t xml:space="preserve">Cần bổ sung quy core flow cụ thể để giúp sv fix scope nội dung thực hiện cũng như bảo vệ trên hội đồng. </t>
  </si>
  <si>
    <t>'Cần bổ sung quy core flow cụ thể để giúp sv fix scope nội dung thực hiện cũng như bảo vệ trên hội đồng.</t>
  </si>
  <si>
    <t>- Bổ sung việc vận dụng AI, áp dụng AI ở mức độ nào</t>
  </si>
  <si>
    <t>- Đề tài cùng nhóm đề tài quản lý sự kiện thông thường đã được làm và bảo vệ rất nhiều --&gt; nên loại các đề tài này</t>
  </si>
  <si>
    <t>- Đề tài này chỉ có hơn một tý là AI Bots không đem values gì thêm</t>
  </si>
  <si>
    <t>- Không có quy trình tương các quan trọng giữa actor chính và các chức năng</t>
  </si>
  <si>
    <t>- Cần mô tả rõ luồng core flow chính để hỗ trợ sv trong quá trình thực hiện và bảo vệ đảm bảo scope trong phạm vi 14 tuần</t>
  </si>
  <si>
    <t>- Đặc tả từng nhiệm vụ của nhóm sv thực hiện vì việc áp dụng cùng tích hợp các công nghệ có áp dụng AI này rất quan trọng để thể hiện tính khả thi trong 14 tuần hay không vì khối lượng công việc khá lớn</t>
  </si>
  <si>
    <t>Cần bổ sung quy core flow cụ thể để giúp sv fix scope nội dung thực hiện cũng như bảo vệ trên hội đồng.</t>
  </si>
  <si>
    <t>- Tên đề tài không phù hợp thực tế vì hiện nay quản lý 02 cấp thành phố xã</t>
  </si>
  <si>
    <t>- Việc quản lý theo cơ chế mới thuyết minh không đủ thuyết phục</t>
  </si>
  <si>
    <t xml:space="preserve">- Một số phạm vi cần giới hạn lại vì hơi lớn </t>
  </si>
  <si>
    <t>- Nhóm đề tài này làm khá nhiều nhưng trong đề tài ngoại trừ 3D mô hình hóa nhưng nghiệp vụ vẫn là quan trọng và đã làm nhiều trong các đề tài khác.</t>
  </si>
  <si>
    <t>- Nên loại các đề tài vì rất khó xác định nội dung làm mới khi đặc tả tương tự</t>
  </si>
  <si>
    <t>- Bổ sung các công nghệ để đám bảo phần đánh giá và ước lượng thời gian cho việc triển khai</t>
  </si>
  <si>
    <t>- Cần nêu rõ core flow để hỗ trợ sv trong quá trình thực hiện và bảo vệ</t>
  </si>
  <si>
    <t>- Việc sử dụng AI cần mô tả rõ là dùng gì và áp dụng thế nào vì đặc tả công nghệ chỉ là các công nghệ xây dựng ứng dụng</t>
  </si>
  <si>
    <t>- Cần nêu rõ core flow để hỗ trợ sv trong quá trình thực hiện và bảo vệ cùng việc thanh toán như thế nào</t>
  </si>
  <si>
    <t>- Cần mô tả đầy đủ quy trình để làm rõ việc mua bán sản phẩm thủ công và sản vật địa phương khác gì so sản phẩm thông thường về quy trình lẫn đặc tính, không khéo chỉ là phần mềm bán sản phẩm thông thường --&gt; nếu thế thì nên loại</t>
  </si>
  <si>
    <t>- Cần làm rõ tương tác giữa các actor trong quy trình, đặc biệt giảm scope vì có liên quan đến chia hoa hồng chi phí, đặc biệt là hướng tới giống platform C2B2C --&gt; gây bung scope và làm khó sv</t>
  </si>
  <si>
    <t xml:space="preserve"> - Đề tài mô tả không rõ ràng, không quy trình, số lượng ngươi dùng quá ít và không thể hiện vai trò của người dùng và sự cần thiết ứng dụng. AI chỉ mô tả cho có, không biết cơ chế, cách áp dụng, cách vận hay và làm gì trong ứng dụng</t>
  </si>
  <si>
    <t>-Đề tài dạng này đã từng làm và bảo vệ, với việc ko mô tả quy trình dẫn đến không khác biệt mấy</t>
  </si>
  <si>
    <t>- Việc có áp dụng cam AI không làm tăng giá trị và không thể hiện được gì trong qui trình mô tả.</t>
  </si>
  <si>
    <t>- Nên loại bỏ những đề tài dạng này vì đã có làm nhiều chỉ ghi thêm chữ AI mà không bít làm gì cả</t>
  </si>
  <si>
    <t>- Đề tài có phạm vi quá lớn, 3 ứng dụng khác nhau, việc tích hợp các kỹ thuật được đề xuất như thế nào , cần giới hạn scope lại</t>
  </si>
  <si>
    <t>- Đề tài cũng chưa hình dung rõ flow tương tác ngoại việc đưa thông tin lên các kênh</t>
  </si>
  <si>
    <t>- Với thời gian 14 tuần là quá lớn đối với nhóm sinh viên</t>
  </si>
  <si>
    <t>- Đề tài quản lý sự kiện và đặt vé đã làm khá nhiều --&gt; không nên dùng lại như thế này</t>
  </si>
  <si>
    <t>- Đặc tả các chức năng rất đơn giản như việc book vé các sự kiện thông thường</t>
  </si>
  <si>
    <t>- Cần mô tả rõ quy trình với workflow để làm rõ nội dung cho sinh viên khi thực hiện và bảo vệ</t>
  </si>
  <si>
    <t>- Cần làm rõ các nội dung trong proposal, cụ thể "Run and share code snippets", "AI integration", tích hợp sâu với GitHub/GitLab về cách thức, chi phí để đảm bảo về SHTT cũng như security ....</t>
  </si>
  <si>
    <t>- Đề tài mô tả quá sơ sài, đặc biệt khi đặc lịch là tuân theo qui chuẩn, quy trình của một phòng khám và các yêu cầu nghiệp vụ không phải đơn giản và thô sơ như thế này</t>
  </si>
  <si>
    <t>- Cần mô tả rõ việc ở ghép có áp dụng AI và qui trình cụ thể vì đề tài này khá nhiều, không khéo chỉ là tuyên tính</t>
  </si>
  <si>
    <t>- Việc đặt tả cần làm rõ và số lượng người dùng quá ít so với một capstone và so với quy định để từ đó mới đánh giá được tính khả thi của dự án, tránh việc dùng các dự án tương tự (khá nhiều) nhưng sử dụng không hiệu quả về training model vì đòi hỏi cần có dữ liệu lớn về lĩnh vực này</t>
  </si>
  <si>
    <t>- Đề tài mô tả khá sơ sài với tên đề tài kinh khủng như vậy … ---&gt; không thể đánh giá</t>
  </si>
  <si>
    <t>- Cần làm rõ quy trình core flow để hỗ trợ sv thực hiện và bảo vệ</t>
  </si>
  <si>
    <t>- Việc mô tả chỉ có 2 actor trong hệ thống là quá ít so với yêu cầu capstone</t>
  </si>
  <si>
    <t>- Việc áp dụng các mô hình AI cần làm rõ</t>
  </si>
  <si>
    <t>- Việc ứng dụng dạng này có ý nghĩa nhưng những thông tin chuyên gia và nhận xét cần chính thống vì khá nhạy cảm với những người thông thường không có chuyên môn</t>
  </si>
  <si>
    <t>- Đề tài quá lớn với đặc tả và đòi hỏi một nghiệp vụ cùng kinh nghiệm triển khai có chiều sâu</t>
  </si>
  <si>
    <t>- Việc tích hợp công nghệ và làm services theo đặc tả là hoàn toàn không khả thi cho một dự án của sinh viên chỉ có 14 tuần</t>
  </si>
  <si>
    <t>- Nội dung đặc tả để tài quá lớn với ERP và các tích hợp công nghệ AI cùng nghiệp vụ, không khả thi cho số lượng sv làm trong 14 tuần</t>
  </si>
  <si>
    <t>- Đề tài quá lớn, đặc biệt áp dung trong lĩnh vững giáo dục cùng sự cá nhân hóa. Việc nói đòi hỏi phải có dữ liệu lớn về đào tạo trong khoảng thời gian dài, không đơn giản chỉ là vài thông tin.</t>
  </si>
  <si>
    <t>- Bên cạnh việc tích hợp nhiều công nghệ xử lý. Hơn hết là dữ liệu đầu vào để dự án khả thi không thể chỉ là app rỗng</t>
  </si>
  <si>
    <t>- Cần nên xác định áp dụng cho lĩnh vực nào, việc để không rõ ràng sẽ ảnh hưởng khi triển khai và làm khó sv khi bảo vệ và thực hiện vì mỗi lĩnh vực đều có cách quản lý khác nhau</t>
  </si>
  <si>
    <t>- Đề tài dạng sinh trắc học áp dụng và bảo vệ thành công và chỉ cần thay đổi đối tượng là xong --&gt; không nên sử dụng dạng đề tài này vì khó xác nhận nội dung hiện thực</t>
  </si>
  <si>
    <t>- Với nội dung giáo dục cần xác định lĩnh vực cụ thể, nội dung focus, không mô tả chung chung rất khó cho sv thực hiện và triển khai.</t>
  </si>
  <si>
    <t>'- Cần làm rõ quy trình core flow để hỗ trợ sv thực hiện và bảo vệ</t>
  </si>
  <si>
    <t>- Đề tài này đã được làm và bảo vệ thành công với nhiều nhóm do vậy không nên thay đổi nội dung và làm đề tài --&gt; rất khó để kiểm tra vì việc thay thế hàng loạt rất dễ xảy ra</t>
  </si>
  <si>
    <t>- Đề tài không có file đặc tả</t>
  </si>
  <si>
    <t>- Đề tài quá to với kiến thức và trải nghiệm rộng và đòi hỏi phải có yếu tố thực tế và doanh nghiệp mới khả năng áp dụng và vận dụng kỹ thuật để làm ra sản phẩm theo đặc tả của proposal</t>
  </si>
  <si>
    <t>- Đề tài mô tả noCode nhưng lại dùng các công nghệ .NET, React …</t>
  </si>
  <si>
    <t>- Cần làm rõ việc nocode để sv có thể thực hiện được theo đúng yêu cầu</t>
  </si>
  <si>
    <t>- Mô tả quy trình cụ thể và sự tương tác của các thành phần cũng như mục tiêu</t>
  </si>
  <si>
    <t>- Xác định các framework ứng dụng theo đúng mô tả mong đợi</t>
  </si>
  <si>
    <t>Đề tài này đã thực hiện ở Capstone và cả SWP391</t>
  </si>
  <si>
    <t>Đề tài này trùng nhiều lần</t>
  </si>
  <si>
    <t>Đề tài cũ chưa có nhiều nâng cấp</t>
  </si>
  <si>
    <t>Đề tài chung chung, trùng với các đề tài hiện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</si>
</sst>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rgb="FF000000"/>
      <name val="Calibri"/>
      <family val="2"/>
      <scheme val="minor"/>
    </font>
    <font>
      <b/>
      <sz val="12"/>
      <color rgb="FFFF0000"/>
      <name val="Calibri"/>
      <family val="2"/>
      <scheme val="minor"/>
    </font>
    <font>
      <b/>
      <sz val="11"/>
      <color theme="1"/>
      <name val="Calibri"/>
      <family val="2"/>
      <scheme val="minor"/>
    </font>
    <font>
      <b/>
      <sz val="14"/>
      <color rgb="FFFF0000"/>
      <name val="Calibri"/>
      <family val="2"/>
      <scheme val="minor"/>
    </font>
    <font>
      <sz val="11"/>
      <name val="Calibri"/>
      <family val="2"/>
    </font>
    <font>
      <b/>
      <sz val="11"/>
      <color theme="1"/>
      <name val="Calibri"/>
      <family val="2"/>
    </font>
    <font>
      <sz val="9"/>
      <color indexed="81"/>
      <name val="Tahoma"/>
      <family val="2"/>
    </font>
    <font>
      <b/>
      <sz val="9"/>
      <color indexed="81"/>
      <name val="Tahoma"/>
      <family val="2"/>
    </font>
    <font>
      <sz val="12"/>
      <color theme="1"/>
      <name val="Times New Roman"/>
      <family val="1"/>
    </font>
    <font>
      <sz val="8"/>
      <name val="Calibri"/>
      <family val="2"/>
      <scheme val="minor"/>
    </font>
    <font>
      <b/>
      <sz val="14"/>
      <name val="Calibri"/>
      <family val="2"/>
      <scheme val="minor"/>
    </font>
    <font>
      <b/>
      <sz val="11"/>
      <name val="Calibri"/>
      <family val="2"/>
    </font>
    <font>
      <sz val="11"/>
      <name val="Calibri"/>
      <family val="2"/>
      <scheme val="minor"/>
    </font>
    <font>
      <sz val="11"/>
      <color theme="1"/>
      <name val="Times New Roman"/>
      <family val="1"/>
    </font>
    <font>
      <sz val="11"/>
      <color rgb="FF000000"/>
      <name val="Times New Roman"/>
      <family val="1"/>
    </font>
    <font>
      <sz val="11"/>
      <name val="Times New Roman"/>
      <family val="1"/>
    </font>
    <font>
      <b/>
      <sz val="11"/>
      <color rgb="FF000000"/>
      <name val="Times New Roman"/>
      <family val="1"/>
    </font>
    <font>
      <sz val="12"/>
      <color theme="1"/>
      <name val="Calibri"/>
      <family val="2"/>
      <scheme val="minor"/>
    </font>
    <font>
      <sz val="13"/>
      <color theme="1"/>
      <name val="Times New Roman"/>
      <family val="1"/>
    </font>
    <font>
      <sz val="11"/>
      <color rgb="FF9C0006"/>
      <name val="Calibri"/>
      <family val="2"/>
      <scheme val="minor"/>
    </font>
    <font>
      <b/>
      <sz val="11"/>
      <color rgb="FF000000"/>
      <name val="Calibri"/>
      <family val="2"/>
      <scheme val="minor"/>
    </font>
    <font>
      <b/>
      <sz val="11"/>
      <color rgb="FF9C0006"/>
      <name val="Calibri"/>
      <family val="2"/>
      <scheme val="minor"/>
    </font>
    <font>
      <i/>
      <sz val="11"/>
      <color theme="1"/>
      <name val="Calibri"/>
      <family val="2"/>
      <scheme val="minor"/>
    </font>
    <font>
      <b/>
      <i/>
      <sz val="11"/>
      <color theme="1"/>
      <name val="Calibri"/>
      <family val="2"/>
      <scheme val="minor"/>
    </font>
    <font>
      <sz val="12"/>
      <color rgb="FF081B3A"/>
      <name val="Times New Roman"/>
      <family val="1"/>
    </font>
    <font>
      <sz val="11"/>
      <color rgb="FF1F1F1F"/>
      <name val="Times New Roman"/>
      <family val="1"/>
    </font>
    <font>
      <sz val="14"/>
      <color theme="1"/>
      <name val="Times New Roman"/>
      <family val="1"/>
    </font>
    <font>
      <sz val="12"/>
      <color theme="1"/>
      <name val="-webkit-standard"/>
    </font>
    <font>
      <sz val="12"/>
      <color theme="1"/>
      <name val="Arial"/>
      <family val="2"/>
    </font>
    <font>
      <i/>
      <sz val="11"/>
      <color rgb="FF000000"/>
      <name val="Calibri"/>
      <family val="2"/>
      <scheme val="minor"/>
    </font>
    <font>
      <b/>
      <i/>
      <sz val="11"/>
      <color rgb="FF000000"/>
      <name val="Calibri"/>
      <family val="2"/>
      <scheme val="minor"/>
    </font>
  </fonts>
  <fills count="13">
    <fill>
      <patternFill patternType="none"/>
    </fill>
    <fill>
      <patternFill patternType="gray125"/>
    </fill>
    <fill>
      <patternFill patternType="solid">
        <fgColor rgb="FFFFC000"/>
        <bgColor rgb="FFFFC000"/>
      </patternFill>
    </fill>
    <fill>
      <patternFill patternType="solid">
        <fgColor theme="7" tint="0.79998168889431442"/>
        <bgColor indexed="64"/>
      </patternFill>
    </fill>
    <fill>
      <patternFill patternType="solid">
        <fgColor theme="7"/>
        <bgColor indexed="64"/>
      </patternFill>
    </fill>
    <fill>
      <patternFill patternType="solid">
        <fgColor theme="8" tint="0.79998168889431442"/>
        <bgColor indexed="64"/>
      </patternFill>
    </fill>
    <fill>
      <patternFill patternType="solid">
        <fgColor theme="2"/>
        <bgColor indexed="64"/>
      </patternFill>
    </fill>
    <fill>
      <patternFill patternType="solid">
        <fgColor rgb="FFFFC00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9"/>
        <bgColor indexed="64"/>
      </patternFill>
    </fill>
    <fill>
      <patternFill patternType="solid">
        <fgColor rgb="FFFFC7CE"/>
        <bgColor rgb="FF000000"/>
      </patternFill>
    </fill>
    <fill>
      <patternFill patternType="solid">
        <fgColor rgb="FFFFFFFF"/>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bottom/>
      <diagonal/>
    </border>
    <border>
      <left style="thin">
        <color rgb="FF000000"/>
      </left>
      <right/>
      <top style="thin">
        <color rgb="FF000000"/>
      </top>
      <bottom style="thin">
        <color rgb="FF000000"/>
      </bottom>
      <diagonal/>
    </border>
    <border>
      <left style="thin">
        <color auto="1"/>
      </left>
      <right/>
      <top/>
      <bottom/>
      <diagonal/>
    </border>
    <border>
      <left/>
      <right style="thin">
        <color auto="1"/>
      </right>
      <top/>
      <bottom/>
      <diagonal/>
    </border>
    <border>
      <left style="thin">
        <color auto="1"/>
      </left>
      <right style="thick">
        <color auto="1"/>
      </right>
      <top/>
      <bottom/>
      <diagonal/>
    </border>
  </borders>
  <cellStyleXfs count="7">
    <xf numFmtId="0" fontId="0" fillId="0" borderId="0">
      <alignment vertical="center"/>
    </xf>
    <xf numFmtId="0" fontId="9" fillId="0" borderId="0"/>
    <xf numFmtId="0" fontId="8" fillId="0" borderId="0"/>
    <xf numFmtId="0" fontId="8" fillId="0" borderId="0">
      <alignment vertical="center"/>
    </xf>
    <xf numFmtId="0" fontId="6" fillId="0" borderId="0"/>
    <xf numFmtId="0" fontId="6" fillId="0" borderId="0"/>
    <xf numFmtId="0" fontId="6" fillId="0" borderId="0">
      <alignment vertical="center"/>
    </xf>
  </cellStyleXfs>
  <cellXfs count="145">
    <xf numFmtId="0" fontId="0" fillId="0" borderId="0" xfId="0">
      <alignment vertical="center"/>
    </xf>
    <xf numFmtId="0" fontId="13" fillId="0" borderId="1" xfId="0" applyFont="1" applyBorder="1" applyAlignment="1">
      <alignment horizontal="center"/>
    </xf>
    <xf numFmtId="0" fontId="0" fillId="0" borderId="0" xfId="0" applyAlignment="1">
      <alignment horizontal="center" vertical="center"/>
    </xf>
    <xf numFmtId="0" fontId="16" fillId="3"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0" fillId="0" borderId="0" xfId="0" applyAlignment="1">
      <alignment horizontal="left" vertical="center"/>
    </xf>
    <xf numFmtId="0" fontId="0" fillId="0" borderId="1" xfId="0" applyBorder="1" applyAlignment="1"/>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0" fillId="0" borderId="0" xfId="0" applyFont="1">
      <alignment vertical="center"/>
    </xf>
    <xf numFmtId="0" fontId="10" fillId="5" borderId="0" xfId="0" applyFont="1" applyFill="1">
      <alignment vertical="center"/>
    </xf>
    <xf numFmtId="0" fontId="0" fillId="5" borderId="0" xfId="0" applyFill="1" applyAlignment="1">
      <alignment horizontal="center" vertical="center"/>
    </xf>
    <xf numFmtId="0" fontId="15" fillId="0" borderId="1" xfId="0" applyFont="1" applyBorder="1" applyAlignment="1">
      <alignment horizontal="center" vertical="center"/>
    </xf>
    <xf numFmtId="0" fontId="17" fillId="0" borderId="0" xfId="0" applyFont="1" applyAlignment="1">
      <alignment horizontal="center" vertical="center"/>
    </xf>
    <xf numFmtId="0" fontId="0" fillId="8" borderId="1" xfId="0" applyFill="1" applyBorder="1">
      <alignment vertical="center"/>
    </xf>
    <xf numFmtId="0" fontId="14" fillId="8" borderId="12" xfId="0" applyFont="1" applyFill="1" applyBorder="1" applyAlignment="1">
      <alignment horizontal="left" vertical="center" wrapText="1"/>
    </xf>
    <xf numFmtId="0" fontId="14" fillId="8" borderId="2" xfId="0" applyFont="1" applyFill="1" applyBorder="1" applyAlignment="1">
      <alignment horizontal="left" vertical="center" wrapText="1"/>
    </xf>
    <xf numFmtId="0" fontId="8" fillId="0" borderId="0" xfId="2"/>
    <xf numFmtId="0" fontId="16" fillId="0" borderId="0" xfId="2" applyFont="1"/>
    <xf numFmtId="0" fontId="16" fillId="0" borderId="0" xfId="2" applyFont="1" applyAlignment="1">
      <alignment horizontal="center" vertical="center"/>
    </xf>
    <xf numFmtId="0" fontId="8" fillId="0" borderId="0" xfId="2" applyAlignment="1">
      <alignment horizontal="center" vertical="center"/>
    </xf>
    <xf numFmtId="0" fontId="16" fillId="0" borderId="0" xfId="2" applyFont="1" applyAlignment="1">
      <alignment wrapText="1"/>
    </xf>
    <xf numFmtId="0" fontId="8" fillId="0" borderId="0" xfId="2" applyAlignment="1">
      <alignment horizontal="center" vertical="top" wrapText="1"/>
    </xf>
    <xf numFmtId="0" fontId="8" fillId="0" borderId="0" xfId="2" applyAlignment="1">
      <alignment wrapText="1"/>
    </xf>
    <xf numFmtId="0" fontId="16" fillId="0" borderId="0" xfId="2" applyFont="1" applyAlignment="1">
      <alignment horizontal="center" vertical="top" wrapText="1"/>
    </xf>
    <xf numFmtId="0" fontId="8" fillId="0" borderId="0" xfId="2" applyAlignment="1">
      <alignment vertical="top" wrapText="1"/>
    </xf>
    <xf numFmtId="0" fontId="8" fillId="0" borderId="0" xfId="0" applyFont="1">
      <alignment vertical="center"/>
    </xf>
    <xf numFmtId="0" fontId="18" fillId="6" borderId="0" xfId="0" applyFont="1" applyFill="1" applyAlignment="1">
      <alignment horizontal="center"/>
    </xf>
    <xf numFmtId="0" fontId="0" fillId="0" borderId="0" xfId="0" applyAlignment="1">
      <alignment vertical="center" wrapText="1" shrinkToFit="1"/>
    </xf>
    <xf numFmtId="0" fontId="0" fillId="0" borderId="1" xfId="0" applyBorder="1" applyAlignment="1">
      <alignment vertical="top"/>
    </xf>
    <xf numFmtId="0" fontId="18" fillId="6" borderId="0" xfId="0" applyFont="1" applyFill="1" applyAlignment="1">
      <alignment horizontal="center" vertical="top"/>
    </xf>
    <xf numFmtId="0" fontId="0" fillId="0" borderId="0" xfId="0" applyAlignment="1">
      <alignment vertical="top" wrapText="1" shrinkToFit="1"/>
    </xf>
    <xf numFmtId="0" fontId="0" fillId="0" borderId="0" xfId="0" applyAlignment="1">
      <alignment vertical="top"/>
    </xf>
    <xf numFmtId="0" fontId="17" fillId="0" borderId="0" xfId="0" applyFont="1" applyAlignment="1">
      <alignment horizontal="center" vertical="top"/>
    </xf>
    <xf numFmtId="0" fontId="19" fillId="9" borderId="1" xfId="0" applyFont="1" applyFill="1" applyBorder="1" applyAlignment="1">
      <alignment horizontal="center" vertical="top"/>
    </xf>
    <xf numFmtId="0" fontId="12" fillId="9" borderId="8" xfId="0" applyFont="1" applyFill="1" applyBorder="1" applyAlignment="1">
      <alignment horizontal="center" vertical="top"/>
    </xf>
    <xf numFmtId="0" fontId="12" fillId="9" borderId="5" xfId="0" applyFont="1" applyFill="1" applyBorder="1" applyAlignment="1">
      <alignment horizontal="center" vertical="top"/>
    </xf>
    <xf numFmtId="0" fontId="0" fillId="0" borderId="0" xfId="0" applyAlignment="1">
      <alignment horizontal="center" vertical="top"/>
    </xf>
    <xf numFmtId="0" fontId="14" fillId="8" borderId="12" xfId="0" applyFont="1" applyFill="1" applyBorder="1" applyAlignment="1">
      <alignment horizontal="left" vertical="top" wrapText="1"/>
    </xf>
    <xf numFmtId="0" fontId="14" fillId="8" borderId="2" xfId="0" applyFont="1" applyFill="1" applyBorder="1" applyAlignment="1">
      <alignment horizontal="left" vertical="top" wrapText="1"/>
    </xf>
    <xf numFmtId="0" fontId="11" fillId="0" borderId="0" xfId="0" applyFont="1" applyAlignment="1">
      <alignment horizontal="left" vertical="top"/>
    </xf>
    <xf numFmtId="0" fontId="11" fillId="0" borderId="0" xfId="0" applyFont="1" applyAlignment="1">
      <alignment horizontal="center" vertical="top"/>
    </xf>
    <xf numFmtId="0" fontId="0" fillId="0" borderId="0" xfId="0" applyAlignment="1">
      <alignment horizontal="left" vertical="top"/>
    </xf>
    <xf numFmtId="0" fontId="0" fillId="0" borderId="1" xfId="0" applyBorder="1" applyAlignment="1">
      <alignment horizontal="left" vertical="top"/>
    </xf>
    <xf numFmtId="0" fontId="0" fillId="0" borderId="0" xfId="0" applyAlignment="1">
      <alignment horizontal="left" vertical="top" wrapText="1" shrinkToFit="1"/>
    </xf>
    <xf numFmtId="0" fontId="9" fillId="0" borderId="0" xfId="0" applyFont="1" applyAlignment="1">
      <alignment horizontal="left" vertical="top"/>
    </xf>
    <xf numFmtId="0" fontId="0" fillId="8" borderId="1" xfId="0" applyFill="1" applyBorder="1" applyAlignment="1">
      <alignment horizontal="left" vertical="top"/>
    </xf>
    <xf numFmtId="0" fontId="0" fillId="0" borderId="11" xfId="0" applyBorder="1" applyAlignment="1">
      <alignment horizontal="left" vertical="top"/>
    </xf>
    <xf numFmtId="0" fontId="12" fillId="9" borderId="0" xfId="0" applyFont="1" applyFill="1" applyAlignment="1">
      <alignment horizontal="center" vertical="top"/>
    </xf>
    <xf numFmtId="0" fontId="8" fillId="10" borderId="0" xfId="0" applyFont="1" applyFill="1" applyAlignment="1">
      <alignment horizontal="center" vertical="top"/>
    </xf>
    <xf numFmtId="0" fontId="0" fillId="0" borderId="1" xfId="0" applyBorder="1" applyAlignment="1">
      <alignment vertical="top" wrapText="1"/>
    </xf>
    <xf numFmtId="0" fontId="12" fillId="9" borderId="9" xfId="0" applyFont="1" applyFill="1" applyBorder="1" applyAlignment="1">
      <alignment horizontal="center"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22" fillId="0" borderId="0" xfId="0" applyFont="1" applyAlignment="1">
      <alignment horizontal="left" vertical="top" wrapText="1"/>
    </xf>
    <xf numFmtId="0" fontId="14" fillId="0" borderId="0" xfId="0" applyFont="1" applyAlignment="1"/>
    <xf numFmtId="0" fontId="24" fillId="0" borderId="10" xfId="0" applyFont="1" applyBorder="1" applyAlignment="1">
      <alignment horizontal="center" vertical="center"/>
    </xf>
    <xf numFmtId="0" fontId="26" fillId="0" borderId="1" xfId="0" applyFont="1" applyBorder="1" applyAlignment="1">
      <alignment horizontal="center" vertical="center"/>
    </xf>
    <xf numFmtId="0" fontId="26" fillId="0" borderId="0" xfId="0" applyFont="1" applyAlignment="1">
      <alignment horizontal="center" vertical="center"/>
    </xf>
    <xf numFmtId="0" fontId="7" fillId="7" borderId="0" xfId="2" applyFont="1" applyFill="1" applyAlignment="1">
      <alignment horizontal="center" vertical="center"/>
    </xf>
    <xf numFmtId="0" fontId="7" fillId="0" borderId="0" xfId="2" applyFont="1" applyAlignment="1">
      <alignment horizontal="center" vertical="center"/>
    </xf>
    <xf numFmtId="0" fontId="9" fillId="0" borderId="0" xfId="1" applyAlignment="1">
      <alignment horizontal="center" vertical="center"/>
    </xf>
    <xf numFmtId="0" fontId="16" fillId="0" borderId="0" xfId="1" applyFont="1" applyAlignment="1">
      <alignment horizontal="center" vertical="center"/>
    </xf>
    <xf numFmtId="0" fontId="6" fillId="0" borderId="0" xfId="0" applyFont="1">
      <alignment vertical="center"/>
    </xf>
    <xf numFmtId="0" fontId="12" fillId="9" borderId="0" xfId="0" applyFont="1" applyFill="1" applyAlignment="1">
      <alignment horizontal="left" vertical="center"/>
    </xf>
    <xf numFmtId="0" fontId="16" fillId="0" borderId="0" xfId="0" applyFont="1">
      <alignment vertical="center"/>
    </xf>
    <xf numFmtId="0" fontId="17" fillId="0" borderId="10" xfId="0" applyFont="1" applyBorder="1" applyAlignment="1">
      <alignment horizontal="center" vertical="center"/>
    </xf>
    <xf numFmtId="0" fontId="0" fillId="10" borderId="0" xfId="0" applyFill="1">
      <alignment vertical="center"/>
    </xf>
    <xf numFmtId="0" fontId="27" fillId="0" borderId="0" xfId="0" applyFont="1">
      <alignment vertical="center"/>
    </xf>
    <xf numFmtId="0" fontId="29" fillId="0" borderId="1" xfId="0" applyFont="1" applyBorder="1" applyAlignment="1">
      <alignment horizontal="center"/>
    </xf>
    <xf numFmtId="0" fontId="29" fillId="0" borderId="1" xfId="0" applyFont="1" applyBorder="1" applyAlignment="1">
      <alignment horizontal="center" vertical="center"/>
    </xf>
    <xf numFmtId="0" fontId="27" fillId="0" borderId="1" xfId="0" applyFont="1" applyBorder="1" applyAlignment="1">
      <alignment horizontal="center" vertical="center"/>
    </xf>
    <xf numFmtId="0" fontId="30" fillId="0" borderId="2" xfId="0" applyFont="1" applyBorder="1" applyAlignment="1">
      <alignment horizontal="left" vertical="center" wrapText="1"/>
    </xf>
    <xf numFmtId="0" fontId="5" fillId="0" borderId="0" xfId="2" applyFont="1" applyAlignment="1">
      <alignment vertical="top" wrapText="1"/>
    </xf>
    <xf numFmtId="0" fontId="5" fillId="0" borderId="0" xfId="2" applyFont="1" applyAlignment="1">
      <alignment horizontal="left" vertical="top" wrapText="1"/>
    </xf>
    <xf numFmtId="0" fontId="4" fillId="7" borderId="0" xfId="2" applyFont="1" applyFill="1" applyAlignment="1">
      <alignment horizontal="center" vertical="center"/>
    </xf>
    <xf numFmtId="0" fontId="14" fillId="0" borderId="0" xfId="0" applyFont="1" applyAlignment="1">
      <alignment horizontal="center" vertical="center"/>
    </xf>
    <xf numFmtId="0" fontId="33" fillId="11" borderId="0" xfId="0" applyFont="1" applyFill="1" applyAlignment="1">
      <alignment horizontal="center" vertical="center"/>
    </xf>
    <xf numFmtId="0" fontId="34" fillId="0" borderId="0" xfId="0" applyFont="1" applyAlignment="1">
      <alignment horizontal="center" vertical="center"/>
    </xf>
    <xf numFmtId="0" fontId="35" fillId="11" borderId="0" xfId="0" applyFont="1" applyFill="1" applyAlignment="1">
      <alignment horizontal="center" vertical="center"/>
    </xf>
    <xf numFmtId="0" fontId="34" fillId="0" borderId="0" xfId="0" applyFont="1" applyAlignment="1"/>
    <xf numFmtId="0" fontId="14" fillId="0" borderId="0" xfId="0" applyFont="1" applyAlignment="1">
      <alignment vertical="top" wrapText="1"/>
    </xf>
    <xf numFmtId="0" fontId="14" fillId="0" borderId="0" xfId="0" applyFont="1" applyAlignment="1">
      <alignment horizontal="center" vertical="center" wrapText="1"/>
    </xf>
    <xf numFmtId="0" fontId="14" fillId="0" borderId="0" xfId="0" applyFont="1" applyAlignment="1">
      <alignment horizontal="left" vertical="top" wrapText="1"/>
    </xf>
    <xf numFmtId="0" fontId="14" fillId="0" borderId="0" xfId="0" applyFont="1" applyAlignment="1">
      <alignment vertical="top"/>
    </xf>
    <xf numFmtId="0" fontId="14" fillId="0" borderId="0" xfId="0" applyFont="1" applyAlignment="1">
      <alignment wrapText="1"/>
    </xf>
    <xf numFmtId="0" fontId="36" fillId="0" borderId="0" xfId="1" applyFont="1" applyAlignment="1">
      <alignment horizontal="center" vertical="center"/>
    </xf>
    <xf numFmtId="0" fontId="37" fillId="0" borderId="0" xfId="2" applyFont="1" applyAlignment="1">
      <alignment horizontal="center" vertical="center"/>
    </xf>
    <xf numFmtId="0" fontId="3" fillId="0" borderId="0" xfId="2" applyFont="1" applyAlignment="1">
      <alignment vertical="top" wrapText="1"/>
    </xf>
    <xf numFmtId="0" fontId="3" fillId="0" borderId="0" xfId="2" applyFont="1" applyAlignment="1">
      <alignment vertical="top"/>
    </xf>
    <xf numFmtId="0" fontId="35" fillId="11" borderId="0" xfId="0" applyFont="1" applyFill="1" applyAlignment="1"/>
    <xf numFmtId="0" fontId="2" fillId="0" borderId="0" xfId="1" applyFont="1" applyAlignment="1">
      <alignment horizontal="center" vertical="center"/>
    </xf>
    <xf numFmtId="0" fontId="2" fillId="0" borderId="0" xfId="2" quotePrefix="1" applyFont="1" applyAlignment="1">
      <alignment vertical="top" wrapText="1"/>
    </xf>
    <xf numFmtId="0" fontId="8" fillId="0" borderId="0" xfId="2" applyAlignment="1">
      <alignment horizontal="left" vertical="top"/>
    </xf>
    <xf numFmtId="0" fontId="33" fillId="0" borderId="0" xfId="0" applyFont="1" applyAlignment="1">
      <alignment horizontal="center" vertical="center"/>
    </xf>
    <xf numFmtId="0" fontId="35" fillId="0" borderId="0" xfId="0" applyFont="1" applyAlignment="1">
      <alignment horizontal="center" vertical="center"/>
    </xf>
    <xf numFmtId="0" fontId="2" fillId="0" borderId="0" xfId="2" applyFont="1" applyAlignment="1">
      <alignment horizontal="left" vertical="top" wrapText="1"/>
    </xf>
    <xf numFmtId="0" fontId="10" fillId="4" borderId="0" xfId="0" applyFont="1" applyFill="1">
      <alignment vertical="center"/>
    </xf>
    <xf numFmtId="0" fontId="16" fillId="0" borderId="0" xfId="0" applyFont="1" applyAlignment="1">
      <alignment horizontal="center" vertical="center"/>
    </xf>
    <xf numFmtId="0" fontId="43" fillId="0" borderId="0" xfId="0" applyFont="1" applyAlignment="1">
      <alignment horizontal="center" vertical="center"/>
    </xf>
    <xf numFmtId="0" fontId="44" fillId="0" borderId="0" xfId="0" applyFont="1" applyAlignment="1">
      <alignment horizontal="center" vertical="center"/>
    </xf>
    <xf numFmtId="0" fontId="33" fillId="11" borderId="0" xfId="0" applyFont="1" applyFill="1" applyAlignment="1">
      <alignment vertical="top" wrapText="1"/>
    </xf>
    <xf numFmtId="0" fontId="28" fillId="0" borderId="1" xfId="0" applyFont="1" applyBorder="1" applyAlignment="1">
      <alignment horizontal="center" vertical="center" wrapText="1"/>
    </xf>
    <xf numFmtId="0" fontId="12" fillId="9" borderId="13" xfId="0" applyFont="1" applyFill="1" applyBorder="1" applyAlignment="1">
      <alignment horizontal="center" vertical="center"/>
    </xf>
    <xf numFmtId="0" fontId="12" fillId="9" borderId="14" xfId="0" applyFont="1" applyFill="1" applyBorder="1" applyAlignment="1">
      <alignment horizontal="center" vertical="center"/>
    </xf>
    <xf numFmtId="0" fontId="12" fillId="9" borderId="11" xfId="0" applyFont="1" applyFill="1" applyBorder="1" applyAlignment="1">
      <alignment horizontal="center" vertical="center"/>
    </xf>
    <xf numFmtId="0" fontId="12" fillId="9" borderId="11" xfId="0" applyFont="1" applyFill="1" applyBorder="1" applyAlignment="1">
      <alignment horizontal="left" vertical="center"/>
    </xf>
    <xf numFmtId="0" fontId="12" fillId="9" borderId="15" xfId="0" applyFont="1" applyFill="1" applyBorder="1" applyAlignment="1">
      <alignment horizontal="center" vertical="center"/>
    </xf>
    <xf numFmtId="0" fontId="25" fillId="7" borderId="11" xfId="0" applyFont="1" applyFill="1" applyBorder="1" applyAlignment="1">
      <alignment horizontal="left" vertical="center"/>
    </xf>
    <xf numFmtId="0" fontId="12" fillId="7" borderId="11" xfId="0" applyFont="1" applyFill="1" applyBorder="1" applyAlignment="1">
      <alignment horizontal="left" vertical="center"/>
    </xf>
    <xf numFmtId="0" fontId="27" fillId="0" borderId="1" xfId="0" applyFont="1" applyBorder="1">
      <alignment vertical="center"/>
    </xf>
    <xf numFmtId="0" fontId="31" fillId="0" borderId="1" xfId="0" applyFont="1" applyBorder="1" applyAlignment="1">
      <alignment vertical="center" wrapText="1"/>
    </xf>
    <xf numFmtId="0" fontId="22" fillId="0" borderId="1" xfId="0" applyFont="1" applyBorder="1" applyAlignment="1">
      <alignment vertical="top" wrapText="1"/>
    </xf>
    <xf numFmtId="0" fontId="1" fillId="0" borderId="1" xfId="0" applyFont="1" applyBorder="1" applyAlignment="1">
      <alignment vertical="center" wrapText="1"/>
    </xf>
    <xf numFmtId="0" fontId="28" fillId="0" borderId="1" xfId="0" applyFont="1" applyBorder="1" applyAlignment="1">
      <alignment vertical="center" wrapText="1"/>
    </xf>
    <xf numFmtId="0" fontId="29" fillId="6" borderId="1" xfId="0" applyFont="1" applyFill="1" applyBorder="1" applyAlignment="1">
      <alignment horizontal="center"/>
    </xf>
    <xf numFmtId="0" fontId="31" fillId="0" borderId="1" xfId="0" applyFont="1" applyBorder="1" applyAlignment="1">
      <alignment vertical="top" wrapText="1"/>
    </xf>
    <xf numFmtId="0" fontId="22" fillId="0" borderId="1" xfId="0" applyFont="1" applyBorder="1" applyAlignment="1">
      <alignment wrapText="1"/>
    </xf>
    <xf numFmtId="0" fontId="38" fillId="12" borderId="1" xfId="0" applyFont="1" applyFill="1" applyBorder="1" applyAlignment="1">
      <alignment wrapText="1"/>
    </xf>
    <xf numFmtId="0" fontId="22" fillId="12" borderId="1" xfId="0" applyFont="1" applyFill="1" applyBorder="1" applyAlignment="1">
      <alignment wrapText="1"/>
    </xf>
    <xf numFmtId="0" fontId="31" fillId="0" borderId="1" xfId="0" applyFont="1" applyBorder="1" applyAlignment="1">
      <alignment wrapText="1"/>
    </xf>
    <xf numFmtId="0" fontId="32" fillId="0" borderId="1" xfId="0" applyFont="1" applyBorder="1" applyAlignment="1">
      <alignment wrapText="1"/>
    </xf>
    <xf numFmtId="0" fontId="39" fillId="12" borderId="1" xfId="0" applyFont="1" applyFill="1" applyBorder="1" applyAlignment="1">
      <alignment wrapText="1"/>
    </xf>
    <xf numFmtId="0" fontId="40" fillId="0" borderId="1" xfId="0" applyFont="1" applyBorder="1" applyAlignment="1">
      <alignment wrapText="1"/>
    </xf>
    <xf numFmtId="0" fontId="41" fillId="0" borderId="1" xfId="0" applyFont="1" applyBorder="1" applyAlignment="1">
      <alignment wrapText="1"/>
    </xf>
    <xf numFmtId="0" fontId="42" fillId="0" borderId="1" xfId="0" applyFont="1" applyBorder="1" applyAlignment="1">
      <alignment wrapText="1"/>
    </xf>
    <xf numFmtId="0" fontId="0" fillId="0" borderId="1" xfId="0" applyBorder="1" applyAlignment="1">
      <alignment horizontal="left" vertical="center"/>
    </xf>
    <xf numFmtId="0" fontId="17" fillId="0" borderId="6" xfId="0" applyFont="1" applyBorder="1" applyAlignment="1">
      <alignment horizontal="left" vertical="top"/>
    </xf>
    <xf numFmtId="0" fontId="17" fillId="0" borderId="7" xfId="0" applyFont="1" applyBorder="1" applyAlignment="1">
      <alignment horizontal="left" vertical="top" wrapText="1"/>
    </xf>
    <xf numFmtId="0" fontId="17" fillId="0" borderId="3" xfId="0" applyFont="1" applyBorder="1" applyAlignment="1">
      <alignment horizontal="left" vertical="top"/>
    </xf>
    <xf numFmtId="0" fontId="14" fillId="0" borderId="0" xfId="0" applyFont="1" applyAlignment="1">
      <alignment vertical="top" wrapText="1"/>
    </xf>
    <xf numFmtId="0" fontId="14" fillId="0" borderId="0" xfId="0" applyFont="1" applyAlignment="1">
      <alignment vertical="top"/>
    </xf>
    <xf numFmtId="0" fontId="14" fillId="0" borderId="0" xfId="0" applyFont="1" applyAlignment="1">
      <alignment horizontal="left" vertical="top" wrapText="1"/>
    </xf>
    <xf numFmtId="0" fontId="14" fillId="0" borderId="0" xfId="0" applyFont="1" applyAlignment="1"/>
    <xf numFmtId="0" fontId="14" fillId="0" borderId="0" xfId="0" applyFont="1" applyAlignment="1">
      <alignment horizontal="center" vertical="center" wrapText="1"/>
    </xf>
    <xf numFmtId="0" fontId="14" fillId="0" borderId="0" xfId="0" applyFont="1" applyAlignment="1">
      <alignment wrapText="1"/>
    </xf>
    <xf numFmtId="0" fontId="14" fillId="0" borderId="0" xfId="0" applyFont="1" applyAlignment="1">
      <alignment horizontal="center" vertical="center"/>
    </xf>
    <xf numFmtId="0" fontId="43" fillId="0" borderId="0" xfId="0" applyFont="1" applyAlignment="1">
      <alignment vertical="top" wrapText="1"/>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3" xfId="0" applyFont="1" applyBorder="1" applyAlignment="1">
      <alignment horizontal="center" vertical="center"/>
    </xf>
    <xf numFmtId="0" fontId="17" fillId="0" borderId="3" xfId="0" applyFont="1" applyBorder="1" applyAlignment="1">
      <alignment horizontal="left" vertical="center"/>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cellXfs>
  <cellStyles count="7">
    <cellStyle name="Normal" xfId="0" builtinId="0"/>
    <cellStyle name="Normal 2" xfId="3" xr:uid="{22534BBC-325D-4FF8-9134-295E15ACA320}"/>
    <cellStyle name="Normal 2 2" xfId="6" xr:uid="{33BE8F05-9066-4588-9674-E0CE295F4A32}"/>
    <cellStyle name="Normal 3 2" xfId="1" xr:uid="{06120D6A-6185-4B93-8B33-F8B9D11BBAF6}"/>
    <cellStyle name="Normal 3 2 2" xfId="2" xr:uid="{87574334-063F-4BB8-B61B-BDE20B76A83D}"/>
    <cellStyle name="Normal 3 2 2 2" xfId="5" xr:uid="{087197B4-E4DC-4AC9-AF57-47E740537D00}"/>
    <cellStyle name="Normal 3 2 3" xfId="4" xr:uid="{A05B176C-6A20-4FC6-ABD4-D9D6E91E5FA9}"/>
  </cellStyles>
  <dxfs count="9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5BDD8-1661-4144-99CD-CF7E68DCC7F7}">
  <dimension ref="A1:F103"/>
  <sheetViews>
    <sheetView zoomScaleNormal="100" workbookViewId="0">
      <selection activeCell="E3" sqref="E3:E62"/>
    </sheetView>
  </sheetViews>
  <sheetFormatPr defaultRowHeight="14.5"/>
  <cols>
    <col min="1" max="1" width="5.1796875" style="44" customWidth="1"/>
    <col min="2" max="2" width="15.81640625" style="43" customWidth="1"/>
    <col min="3" max="3" width="22.36328125" style="54" customWidth="1"/>
    <col min="4" max="4" width="16.90625" style="43" customWidth="1"/>
    <col min="5" max="5" width="9.453125" style="38" customWidth="1"/>
    <col min="6" max="6" width="58.7265625" style="43" customWidth="1"/>
    <col min="7" max="16384" width="8.7265625" style="43"/>
  </cols>
  <sheetData>
    <row r="1" spans="1:6" ht="19" thickBot="1">
      <c r="A1" s="43"/>
      <c r="B1" s="128" t="s">
        <v>0</v>
      </c>
      <c r="C1" s="129"/>
      <c r="D1" s="130"/>
      <c r="E1" s="34"/>
    </row>
    <row r="2" spans="1:6" s="38" customFormat="1">
      <c r="A2" s="35" t="s">
        <v>38</v>
      </c>
      <c r="B2" s="36" t="s">
        <v>1</v>
      </c>
      <c r="C2" s="52" t="s">
        <v>216</v>
      </c>
      <c r="D2" s="37" t="s">
        <v>4</v>
      </c>
      <c r="E2" s="49" t="s">
        <v>208</v>
      </c>
      <c r="F2" s="50" t="s">
        <v>215</v>
      </c>
    </row>
    <row r="3" spans="1:6" s="33" customFormat="1">
      <c r="A3" s="30">
        <v>1</v>
      </c>
      <c r="B3" s="30" t="s">
        <v>66</v>
      </c>
      <c r="C3" s="30" t="s">
        <v>87</v>
      </c>
      <c r="D3" s="30" t="s">
        <v>15</v>
      </c>
      <c r="E3" s="31" t="e">
        <f t="shared" ref="E3:E34" si="0">VLOOKUP(B3,registration_full,17)</f>
        <v>#REF!</v>
      </c>
      <c r="F3" s="32" t="str">
        <f t="shared" ref="F3:F34" si="1">HLOOKUP(B3,reviewer1_result,13)&amp;HLOOKUP(B3,reviewer2_result,13)&amp;HLOOKUP(B3,reviewer3_result,13)&amp;HLOOKUP(B3,reviewer4_result,13)</f>
        <v/>
      </c>
    </row>
    <row r="4" spans="1:6" customFormat="1">
      <c r="A4" s="5">
        <v>2</v>
      </c>
      <c r="B4" s="7" t="s">
        <v>67</v>
      </c>
      <c r="C4" s="30" t="s">
        <v>88</v>
      </c>
      <c r="D4" s="7" t="s">
        <v>15</v>
      </c>
      <c r="E4" s="28" t="e">
        <f t="shared" si="0"/>
        <v>#REF!</v>
      </c>
      <c r="F4" s="29" t="str">
        <f t="shared" si="1"/>
        <v/>
      </c>
    </row>
    <row r="5" spans="1:6" ht="29">
      <c r="A5" s="44">
        <v>3</v>
      </c>
      <c r="B5" s="44" t="s">
        <v>68</v>
      </c>
      <c r="C5" s="51" t="s">
        <v>89</v>
      </c>
      <c r="D5" s="44" t="s">
        <v>35</v>
      </c>
      <c r="E5" s="31" t="e">
        <f t="shared" si="0"/>
        <v>#REF!</v>
      </c>
      <c r="F5" s="45" t="str">
        <f t="shared" si="1"/>
        <v/>
      </c>
    </row>
    <row r="6" spans="1:6" ht="101.5">
      <c r="A6" s="44">
        <v>4</v>
      </c>
      <c r="B6" s="44" t="s">
        <v>69</v>
      </c>
      <c r="C6" s="51" t="s">
        <v>90</v>
      </c>
      <c r="D6" s="44" t="s">
        <v>27</v>
      </c>
      <c r="E6" s="31" t="e">
        <f t="shared" si="0"/>
        <v>#REF!</v>
      </c>
      <c r="F6" s="45" t="str">
        <f t="shared" si="1"/>
        <v/>
      </c>
    </row>
    <row r="7" spans="1:6" ht="43.5">
      <c r="A7" s="44">
        <v>5</v>
      </c>
      <c r="B7" s="44" t="s">
        <v>70</v>
      </c>
      <c r="C7" s="51" t="s">
        <v>91</v>
      </c>
      <c r="D7" s="44" t="s">
        <v>27</v>
      </c>
      <c r="E7" s="31" t="e">
        <f t="shared" si="0"/>
        <v>#REF!</v>
      </c>
      <c r="F7" s="45" t="str">
        <f t="shared" si="1"/>
        <v/>
      </c>
    </row>
    <row r="8" spans="1:6" ht="43.5">
      <c r="A8" s="44">
        <v>6</v>
      </c>
      <c r="B8" s="44" t="s">
        <v>71</v>
      </c>
      <c r="C8" s="51" t="s">
        <v>92</v>
      </c>
      <c r="D8" s="44" t="s">
        <v>27</v>
      </c>
      <c r="E8" s="31" t="e">
        <f t="shared" si="0"/>
        <v>#REF!</v>
      </c>
      <c r="F8" s="45" t="str">
        <f t="shared" si="1"/>
        <v/>
      </c>
    </row>
    <row r="9" spans="1:6" ht="29">
      <c r="A9" s="44">
        <v>7</v>
      </c>
      <c r="B9" s="44" t="s">
        <v>72</v>
      </c>
      <c r="C9" s="51" t="s">
        <v>93</v>
      </c>
      <c r="D9" s="44" t="s">
        <v>35</v>
      </c>
      <c r="E9" s="31" t="e">
        <f t="shared" si="0"/>
        <v>#REF!</v>
      </c>
      <c r="F9" s="45" t="str">
        <f t="shared" si="1"/>
        <v/>
      </c>
    </row>
    <row r="10" spans="1:6" customFormat="1">
      <c r="A10" s="5">
        <v>8</v>
      </c>
      <c r="B10" s="7" t="s">
        <v>73</v>
      </c>
      <c r="C10" s="30" t="s">
        <v>94</v>
      </c>
      <c r="D10" s="7" t="s">
        <v>108</v>
      </c>
      <c r="E10" s="28" t="e">
        <f t="shared" si="0"/>
        <v>#REF!</v>
      </c>
      <c r="F10" s="29" t="str">
        <f t="shared" si="1"/>
        <v/>
      </c>
    </row>
    <row r="11" spans="1:6" customFormat="1">
      <c r="A11" s="5">
        <v>9</v>
      </c>
      <c r="B11" s="7" t="s">
        <v>74</v>
      </c>
      <c r="C11" s="30" t="s">
        <v>95</v>
      </c>
      <c r="D11" s="7" t="s">
        <v>35</v>
      </c>
      <c r="E11" s="28" t="e">
        <f t="shared" si="0"/>
        <v>#REF!</v>
      </c>
      <c r="F11" s="29" t="str">
        <f t="shared" si="1"/>
        <v/>
      </c>
    </row>
    <row r="12" spans="1:6" customFormat="1">
      <c r="A12" s="5">
        <v>10</v>
      </c>
      <c r="B12" s="7" t="s">
        <v>75</v>
      </c>
      <c r="C12" s="30" t="s">
        <v>96</v>
      </c>
      <c r="D12" s="7" t="s">
        <v>35</v>
      </c>
      <c r="E12" s="28" t="e">
        <f t="shared" si="0"/>
        <v>#REF!</v>
      </c>
      <c r="F12" s="29" t="str">
        <f t="shared" si="1"/>
        <v/>
      </c>
    </row>
    <row r="13" spans="1:6" customFormat="1">
      <c r="A13" s="5">
        <v>11</v>
      </c>
      <c r="B13" s="7" t="s">
        <v>76</v>
      </c>
      <c r="C13" s="30" t="s">
        <v>97</v>
      </c>
      <c r="D13" s="7" t="s">
        <v>21</v>
      </c>
      <c r="E13" s="28" t="e">
        <f t="shared" si="0"/>
        <v>#REF!</v>
      </c>
      <c r="F13" s="29" t="str">
        <f t="shared" si="1"/>
        <v/>
      </c>
    </row>
    <row r="14" spans="1:6" customFormat="1">
      <c r="A14" s="5">
        <v>12</v>
      </c>
      <c r="B14" s="7" t="s">
        <v>77</v>
      </c>
      <c r="C14" s="30" t="s">
        <v>98</v>
      </c>
      <c r="D14" s="7" t="s">
        <v>21</v>
      </c>
      <c r="E14" s="28" t="e">
        <f t="shared" si="0"/>
        <v>#REF!</v>
      </c>
      <c r="F14" s="29" t="str">
        <f t="shared" si="1"/>
        <v/>
      </c>
    </row>
    <row r="15" spans="1:6" ht="43.5">
      <c r="A15" s="44">
        <v>13</v>
      </c>
      <c r="B15" s="44" t="s">
        <v>78</v>
      </c>
      <c r="C15" s="51" t="s">
        <v>99</v>
      </c>
      <c r="D15" s="44" t="s">
        <v>21</v>
      </c>
      <c r="E15" s="31" t="e">
        <f t="shared" si="0"/>
        <v>#REF!</v>
      </c>
      <c r="F15" s="45" t="str">
        <f t="shared" si="1"/>
        <v/>
      </c>
    </row>
    <row r="16" spans="1:6" customFormat="1">
      <c r="A16" s="5">
        <v>14</v>
      </c>
      <c r="B16" s="7" t="s">
        <v>79</v>
      </c>
      <c r="C16" s="30" t="s">
        <v>100</v>
      </c>
      <c r="D16" s="7" t="s">
        <v>15</v>
      </c>
      <c r="E16" s="28" t="e">
        <f t="shared" si="0"/>
        <v>#REF!</v>
      </c>
      <c r="F16" s="29" t="str">
        <f t="shared" si="1"/>
        <v/>
      </c>
    </row>
    <row r="17" spans="1:6" customFormat="1">
      <c r="A17" s="5">
        <v>15</v>
      </c>
      <c r="B17" s="7" t="s">
        <v>80</v>
      </c>
      <c r="C17" s="30" t="s">
        <v>101</v>
      </c>
      <c r="D17" s="7" t="s">
        <v>58</v>
      </c>
      <c r="E17" s="28" t="e">
        <f t="shared" si="0"/>
        <v>#REF!</v>
      </c>
      <c r="F17" s="29" t="str">
        <f t="shared" si="1"/>
        <v/>
      </c>
    </row>
    <row r="18" spans="1:6" customFormat="1">
      <c r="A18" s="5">
        <v>16</v>
      </c>
      <c r="B18" s="7" t="s">
        <v>81</v>
      </c>
      <c r="C18" s="30" t="s">
        <v>102</v>
      </c>
      <c r="D18" s="7" t="s">
        <v>58</v>
      </c>
      <c r="E18" s="28" t="e">
        <f t="shared" si="0"/>
        <v>#REF!</v>
      </c>
      <c r="F18" s="29" t="str">
        <f t="shared" si="1"/>
        <v/>
      </c>
    </row>
    <row r="19" spans="1:6" customFormat="1">
      <c r="A19" s="5">
        <v>17</v>
      </c>
      <c r="B19" s="7" t="s">
        <v>82</v>
      </c>
      <c r="C19" s="30" t="s">
        <v>103</v>
      </c>
      <c r="D19" s="7" t="s">
        <v>7</v>
      </c>
      <c r="E19" s="28" t="e">
        <f t="shared" si="0"/>
        <v>#REF!</v>
      </c>
      <c r="F19" s="29" t="str">
        <f t="shared" si="1"/>
        <v/>
      </c>
    </row>
    <row r="20" spans="1:6" customFormat="1">
      <c r="A20" s="5">
        <v>18</v>
      </c>
      <c r="B20" s="7" t="s">
        <v>83</v>
      </c>
      <c r="C20" s="30" t="s">
        <v>104</v>
      </c>
      <c r="D20" s="7" t="s">
        <v>57</v>
      </c>
      <c r="E20" s="28" t="e">
        <f t="shared" si="0"/>
        <v>#REF!</v>
      </c>
      <c r="F20" s="29" t="str">
        <f t="shared" si="1"/>
        <v/>
      </c>
    </row>
    <row r="21" spans="1:6" customFormat="1">
      <c r="A21" s="5">
        <v>19</v>
      </c>
      <c r="B21" s="7" t="s">
        <v>84</v>
      </c>
      <c r="C21" s="30" t="s">
        <v>105</v>
      </c>
      <c r="D21" s="7" t="s">
        <v>57</v>
      </c>
      <c r="E21" s="28" t="e">
        <f t="shared" si="0"/>
        <v>#REF!</v>
      </c>
      <c r="F21" s="29" t="str">
        <f t="shared" si="1"/>
        <v/>
      </c>
    </row>
    <row r="22" spans="1:6">
      <c r="A22" s="44">
        <v>20</v>
      </c>
      <c r="B22" s="44" t="s">
        <v>85</v>
      </c>
      <c r="C22" s="51" t="s">
        <v>106</v>
      </c>
      <c r="D22" s="44" t="s">
        <v>57</v>
      </c>
      <c r="E22" s="31" t="e">
        <f t="shared" si="0"/>
        <v>#REF!</v>
      </c>
      <c r="F22" s="45" t="str">
        <f t="shared" si="1"/>
        <v/>
      </c>
    </row>
    <row r="23" spans="1:6" customFormat="1">
      <c r="A23" s="5">
        <v>21</v>
      </c>
      <c r="B23" s="7" t="s">
        <v>86</v>
      </c>
      <c r="C23" s="30" t="s">
        <v>107</v>
      </c>
      <c r="D23" s="7" t="s">
        <v>7</v>
      </c>
      <c r="E23" s="28" t="e">
        <f t="shared" si="0"/>
        <v>#REF!</v>
      </c>
      <c r="F23" s="29" t="str">
        <f t="shared" si="1"/>
        <v/>
      </c>
    </row>
    <row r="24" spans="1:6">
      <c r="A24" s="44">
        <v>22</v>
      </c>
      <c r="B24" s="44" t="s">
        <v>203</v>
      </c>
      <c r="C24" s="51" t="s">
        <v>204</v>
      </c>
      <c r="D24" s="46" t="s">
        <v>35</v>
      </c>
      <c r="E24" s="31" t="e">
        <f t="shared" si="0"/>
        <v>#REF!</v>
      </c>
      <c r="F24" s="45" t="str">
        <f t="shared" si="1"/>
        <v/>
      </c>
    </row>
    <row r="25" spans="1:6" customFormat="1">
      <c r="A25" s="15">
        <v>23</v>
      </c>
      <c r="B25" s="16" t="s">
        <v>109</v>
      </c>
      <c r="C25" s="17" t="s">
        <v>110</v>
      </c>
      <c r="D25" s="17" t="s">
        <v>55</v>
      </c>
      <c r="E25" s="28" t="e">
        <f t="shared" si="0"/>
        <v>#REF!</v>
      </c>
      <c r="F25" s="29" t="str">
        <f t="shared" si="1"/>
        <v/>
      </c>
    </row>
    <row r="26" spans="1:6" customFormat="1" ht="58">
      <c r="A26" s="15">
        <v>24</v>
      </c>
      <c r="B26" s="16" t="s">
        <v>111</v>
      </c>
      <c r="C26" s="17" t="s">
        <v>112</v>
      </c>
      <c r="D26" s="17" t="s">
        <v>56</v>
      </c>
      <c r="E26" s="28" t="e">
        <f t="shared" si="0"/>
        <v>#REF!</v>
      </c>
      <c r="F26" s="29" t="str">
        <f t="shared" si="1"/>
        <v/>
      </c>
    </row>
    <row r="27" spans="1:6" ht="58">
      <c r="A27" s="47">
        <v>25</v>
      </c>
      <c r="B27" s="39" t="s">
        <v>113</v>
      </c>
      <c r="C27" s="40" t="s">
        <v>114</v>
      </c>
      <c r="D27" s="40" t="s">
        <v>56</v>
      </c>
      <c r="E27" s="31" t="e">
        <f t="shared" si="0"/>
        <v>#REF!</v>
      </c>
      <c r="F27" s="45" t="str">
        <f t="shared" si="1"/>
        <v/>
      </c>
    </row>
    <row r="28" spans="1:6" customFormat="1" ht="43.5">
      <c r="A28" s="15">
        <v>26</v>
      </c>
      <c r="B28" s="16" t="s">
        <v>115</v>
      </c>
      <c r="C28" s="17" t="s">
        <v>116</v>
      </c>
      <c r="D28" s="17" t="s">
        <v>56</v>
      </c>
      <c r="E28" s="28" t="e">
        <f t="shared" si="0"/>
        <v>#REF!</v>
      </c>
      <c r="F28" s="29" t="str">
        <f t="shared" si="1"/>
        <v/>
      </c>
    </row>
    <row r="29" spans="1:6" ht="58">
      <c r="A29" s="47">
        <v>27</v>
      </c>
      <c r="B29" s="39" t="s">
        <v>117</v>
      </c>
      <c r="C29" s="40" t="s">
        <v>118</v>
      </c>
      <c r="D29" s="40" t="s">
        <v>56</v>
      </c>
      <c r="E29" s="31" t="e">
        <f t="shared" si="0"/>
        <v>#REF!</v>
      </c>
      <c r="F29" s="45" t="str">
        <f t="shared" si="1"/>
        <v/>
      </c>
    </row>
    <row r="30" spans="1:6">
      <c r="A30" s="47">
        <v>28</v>
      </c>
      <c r="B30" s="39" t="s">
        <v>119</v>
      </c>
      <c r="C30" s="40" t="s">
        <v>120</v>
      </c>
      <c r="D30" s="40" t="s">
        <v>33</v>
      </c>
      <c r="E30" s="31" t="e">
        <f t="shared" si="0"/>
        <v>#REF!</v>
      </c>
      <c r="F30" s="45" t="str">
        <f t="shared" si="1"/>
        <v/>
      </c>
    </row>
    <row r="31" spans="1:6" customFormat="1">
      <c r="A31" s="15">
        <v>29</v>
      </c>
      <c r="B31" s="16" t="s">
        <v>121</v>
      </c>
      <c r="C31" s="17" t="s">
        <v>122</v>
      </c>
      <c r="D31" s="17" t="s">
        <v>33</v>
      </c>
      <c r="E31" s="28" t="e">
        <f t="shared" si="0"/>
        <v>#REF!</v>
      </c>
      <c r="F31" s="29" t="str">
        <f t="shared" si="1"/>
        <v/>
      </c>
    </row>
    <row r="32" spans="1:6" customFormat="1" ht="101.5">
      <c r="A32" s="15">
        <v>30</v>
      </c>
      <c r="B32" s="16" t="s">
        <v>123</v>
      </c>
      <c r="C32" s="17" t="s">
        <v>124</v>
      </c>
      <c r="D32" s="17" t="s">
        <v>13</v>
      </c>
      <c r="E32" s="28" t="e">
        <f t="shared" si="0"/>
        <v>#REF!</v>
      </c>
      <c r="F32" s="29" t="str">
        <f t="shared" si="1"/>
        <v/>
      </c>
    </row>
    <row r="33" spans="1:6" ht="101.5">
      <c r="A33" s="47">
        <v>31</v>
      </c>
      <c r="B33" s="39" t="s">
        <v>125</v>
      </c>
      <c r="C33" s="40" t="s">
        <v>126</v>
      </c>
      <c r="D33" s="40" t="s">
        <v>13</v>
      </c>
      <c r="E33" s="31" t="e">
        <f t="shared" si="0"/>
        <v>#REF!</v>
      </c>
      <c r="F33" s="45" t="str">
        <f t="shared" si="1"/>
        <v/>
      </c>
    </row>
    <row r="34" spans="1:6" customFormat="1" ht="29">
      <c r="A34" s="15">
        <v>32</v>
      </c>
      <c r="B34" s="16" t="s">
        <v>127</v>
      </c>
      <c r="C34" s="17" t="s">
        <v>128</v>
      </c>
      <c r="D34" s="17" t="s">
        <v>11</v>
      </c>
      <c r="E34" s="28" t="e">
        <f t="shared" si="0"/>
        <v>#REF!</v>
      </c>
      <c r="F34" s="29" t="str">
        <f t="shared" si="1"/>
        <v/>
      </c>
    </row>
    <row r="35" spans="1:6" customFormat="1" ht="29">
      <c r="A35" s="15">
        <v>33</v>
      </c>
      <c r="B35" s="16" t="s">
        <v>129</v>
      </c>
      <c r="C35" s="17" t="s">
        <v>130</v>
      </c>
      <c r="D35" s="17" t="s">
        <v>11</v>
      </c>
      <c r="E35" s="28" t="e">
        <f t="shared" ref="E35:E62" si="2">VLOOKUP(B35,registration_full,17)</f>
        <v>#REF!</v>
      </c>
      <c r="F35" s="29" t="str">
        <f t="shared" ref="F35:F62" si="3">HLOOKUP(B35,reviewer1_result,13)&amp;HLOOKUP(B35,reviewer2_result,13)&amp;HLOOKUP(B35,reviewer3_result,13)&amp;HLOOKUP(B35,reviewer4_result,13)</f>
        <v/>
      </c>
    </row>
    <row r="36" spans="1:6" customFormat="1" ht="72.5">
      <c r="A36" s="15">
        <v>34</v>
      </c>
      <c r="B36" s="16" t="s">
        <v>131</v>
      </c>
      <c r="C36" s="17" t="s">
        <v>132</v>
      </c>
      <c r="D36" s="17" t="s">
        <v>11</v>
      </c>
      <c r="E36" s="28" t="e">
        <f t="shared" si="2"/>
        <v>#REF!</v>
      </c>
      <c r="F36" s="29" t="str">
        <f t="shared" si="3"/>
        <v/>
      </c>
    </row>
    <row r="37" spans="1:6" customFormat="1" ht="29">
      <c r="A37" s="15">
        <v>35</v>
      </c>
      <c r="B37" s="16" t="s">
        <v>133</v>
      </c>
      <c r="C37" s="17" t="s">
        <v>134</v>
      </c>
      <c r="D37" s="17" t="s">
        <v>11</v>
      </c>
      <c r="E37" s="28" t="e">
        <f t="shared" si="2"/>
        <v>#REF!</v>
      </c>
      <c r="F37" s="29" t="str">
        <f t="shared" si="3"/>
        <v/>
      </c>
    </row>
    <row r="38" spans="1:6" customFormat="1">
      <c r="A38" s="15">
        <v>36</v>
      </c>
      <c r="B38" s="16" t="s">
        <v>135</v>
      </c>
      <c r="C38" s="17" t="s">
        <v>136</v>
      </c>
      <c r="D38" s="17" t="s">
        <v>55</v>
      </c>
      <c r="E38" s="28" t="e">
        <f t="shared" si="2"/>
        <v>#REF!</v>
      </c>
      <c r="F38" s="29" t="str">
        <f t="shared" si="3"/>
        <v/>
      </c>
    </row>
    <row r="39" spans="1:6" customFormat="1">
      <c r="A39" s="15">
        <v>37</v>
      </c>
      <c r="B39" s="16" t="s">
        <v>137</v>
      </c>
      <c r="C39" s="17" t="s">
        <v>59</v>
      </c>
      <c r="D39" s="17" t="s">
        <v>25</v>
      </c>
      <c r="E39" s="28" t="e">
        <f t="shared" si="2"/>
        <v>#REF!</v>
      </c>
      <c r="F39" s="29" t="str">
        <f t="shared" si="3"/>
        <v/>
      </c>
    </row>
    <row r="40" spans="1:6" customFormat="1">
      <c r="A40" s="15">
        <v>38</v>
      </c>
      <c r="B40" s="16" t="s">
        <v>138</v>
      </c>
      <c r="C40" s="17" t="s">
        <v>139</v>
      </c>
      <c r="D40" s="17" t="s">
        <v>25</v>
      </c>
      <c r="E40" s="28" t="e">
        <f t="shared" si="2"/>
        <v>#REF!</v>
      </c>
      <c r="F40" s="29" t="str">
        <f t="shared" si="3"/>
        <v/>
      </c>
    </row>
    <row r="41" spans="1:6" customFormat="1">
      <c r="A41" s="15">
        <v>39</v>
      </c>
      <c r="B41" s="16" t="s">
        <v>140</v>
      </c>
      <c r="C41" s="17" t="s">
        <v>141</v>
      </c>
      <c r="D41" s="17" t="s">
        <v>25</v>
      </c>
      <c r="E41" s="28" t="e">
        <f t="shared" si="2"/>
        <v>#REF!</v>
      </c>
      <c r="F41" s="29" t="str">
        <f t="shared" si="3"/>
        <v/>
      </c>
    </row>
    <row r="42" spans="1:6" customFormat="1" ht="29">
      <c r="A42" s="15">
        <v>40</v>
      </c>
      <c r="B42" s="16" t="s">
        <v>142</v>
      </c>
      <c r="C42" s="17" t="s">
        <v>143</v>
      </c>
      <c r="D42" s="17" t="s">
        <v>25</v>
      </c>
      <c r="E42" s="28" t="e">
        <f t="shared" si="2"/>
        <v>#REF!</v>
      </c>
      <c r="F42" s="29" t="str">
        <f t="shared" si="3"/>
        <v/>
      </c>
    </row>
    <row r="43" spans="1:6" customFormat="1" ht="43.5">
      <c r="A43" s="15">
        <v>41</v>
      </c>
      <c r="B43" s="16" t="s">
        <v>144</v>
      </c>
      <c r="C43" s="17" t="s">
        <v>145</v>
      </c>
      <c r="D43" s="17" t="s">
        <v>186</v>
      </c>
      <c r="E43" s="28" t="e">
        <f t="shared" si="2"/>
        <v>#REF!</v>
      </c>
      <c r="F43" s="29" t="str">
        <f t="shared" si="3"/>
        <v/>
      </c>
    </row>
    <row r="44" spans="1:6" customFormat="1" ht="29">
      <c r="A44" s="15">
        <v>42</v>
      </c>
      <c r="B44" s="16" t="s">
        <v>146</v>
      </c>
      <c r="C44" s="17" t="s">
        <v>147</v>
      </c>
      <c r="D44" s="17" t="s">
        <v>11</v>
      </c>
      <c r="E44" s="28" t="e">
        <f t="shared" si="2"/>
        <v>#REF!</v>
      </c>
      <c r="F44" s="29" t="str">
        <f t="shared" si="3"/>
        <v/>
      </c>
    </row>
    <row r="45" spans="1:6" ht="43.5">
      <c r="A45" s="47">
        <v>43</v>
      </c>
      <c r="B45" s="39" t="s">
        <v>148</v>
      </c>
      <c r="C45" s="40" t="s">
        <v>149</v>
      </c>
      <c r="D45" s="40" t="s">
        <v>13</v>
      </c>
      <c r="E45" s="31" t="e">
        <f t="shared" si="2"/>
        <v>#REF!</v>
      </c>
      <c r="F45" s="45" t="str">
        <f t="shared" si="3"/>
        <v/>
      </c>
    </row>
    <row r="46" spans="1:6" customFormat="1" ht="58">
      <c r="A46" s="15">
        <v>44</v>
      </c>
      <c r="B46" s="16" t="s">
        <v>150</v>
      </c>
      <c r="C46" s="17" t="s">
        <v>151</v>
      </c>
      <c r="D46" s="17" t="s">
        <v>13</v>
      </c>
      <c r="E46" s="28" t="e">
        <f t="shared" si="2"/>
        <v>#REF!</v>
      </c>
      <c r="F46" s="29" t="str">
        <f t="shared" si="3"/>
        <v/>
      </c>
    </row>
    <row r="47" spans="1:6" customFormat="1" ht="87">
      <c r="A47" s="15">
        <v>45</v>
      </c>
      <c r="B47" s="16" t="s">
        <v>152</v>
      </c>
      <c r="C47" s="17" t="s">
        <v>153</v>
      </c>
      <c r="D47" s="17" t="s">
        <v>20</v>
      </c>
      <c r="E47" s="28" t="e">
        <f t="shared" si="2"/>
        <v>#REF!</v>
      </c>
      <c r="F47" s="29" t="str">
        <f t="shared" si="3"/>
        <v/>
      </c>
    </row>
    <row r="48" spans="1:6" customFormat="1" ht="58">
      <c r="A48" s="15">
        <v>46</v>
      </c>
      <c r="B48" s="16" t="s">
        <v>154</v>
      </c>
      <c r="C48" s="17" t="s">
        <v>155</v>
      </c>
      <c r="D48" s="17" t="s">
        <v>20</v>
      </c>
      <c r="E48" s="28" t="e">
        <f t="shared" si="2"/>
        <v>#REF!</v>
      </c>
      <c r="F48" s="29" t="str">
        <f t="shared" si="3"/>
        <v/>
      </c>
    </row>
    <row r="49" spans="1:6" customFormat="1" ht="58">
      <c r="A49" s="15">
        <v>47</v>
      </c>
      <c r="B49" s="16" t="s">
        <v>156</v>
      </c>
      <c r="C49" s="17" t="s">
        <v>157</v>
      </c>
      <c r="D49" s="17" t="s">
        <v>20</v>
      </c>
      <c r="E49" s="28" t="e">
        <f t="shared" si="2"/>
        <v>#REF!</v>
      </c>
      <c r="F49" s="29" t="str">
        <f t="shared" si="3"/>
        <v/>
      </c>
    </row>
    <row r="50" spans="1:6" customFormat="1">
      <c r="A50" s="15">
        <v>48</v>
      </c>
      <c r="B50" s="16" t="s">
        <v>158</v>
      </c>
      <c r="C50" s="17" t="s">
        <v>159</v>
      </c>
      <c r="D50" s="17" t="s">
        <v>17</v>
      </c>
      <c r="E50" s="28" t="e">
        <f t="shared" si="2"/>
        <v>#REF!</v>
      </c>
      <c r="F50" s="29" t="str">
        <f t="shared" si="3"/>
        <v/>
      </c>
    </row>
    <row r="51" spans="1:6" customFormat="1" ht="29">
      <c r="A51" s="15">
        <v>49</v>
      </c>
      <c r="B51" s="16" t="s">
        <v>160</v>
      </c>
      <c r="C51" s="17" t="s">
        <v>161</v>
      </c>
      <c r="D51" s="17" t="s">
        <v>9</v>
      </c>
      <c r="E51" s="28" t="e">
        <f t="shared" si="2"/>
        <v>#REF!</v>
      </c>
      <c r="F51" s="29" t="str">
        <f t="shared" si="3"/>
        <v/>
      </c>
    </row>
    <row r="52" spans="1:6" customFormat="1" ht="72.5">
      <c r="A52" s="15">
        <v>50</v>
      </c>
      <c r="B52" s="16" t="s">
        <v>162</v>
      </c>
      <c r="C52" s="17" t="s">
        <v>163</v>
      </c>
      <c r="D52" s="17" t="s">
        <v>9</v>
      </c>
      <c r="E52" s="28" t="e">
        <f t="shared" si="2"/>
        <v>#REF!</v>
      </c>
      <c r="F52" s="29" t="str">
        <f t="shared" si="3"/>
        <v/>
      </c>
    </row>
    <row r="53" spans="1:6" customFormat="1" ht="101.5">
      <c r="A53" s="15">
        <v>51</v>
      </c>
      <c r="B53" s="16" t="s">
        <v>164</v>
      </c>
      <c r="C53" s="17" t="s">
        <v>165</v>
      </c>
      <c r="D53" s="17" t="s">
        <v>9</v>
      </c>
      <c r="E53" s="28" t="e">
        <f t="shared" si="2"/>
        <v>#REF!</v>
      </c>
      <c r="F53" s="29" t="str">
        <f t="shared" si="3"/>
        <v/>
      </c>
    </row>
    <row r="54" spans="1:6" customFormat="1" ht="72.5">
      <c r="A54" s="15">
        <v>52</v>
      </c>
      <c r="B54" s="16" t="s">
        <v>166</v>
      </c>
      <c r="C54" s="17" t="s">
        <v>167</v>
      </c>
      <c r="D54" s="17" t="s">
        <v>20</v>
      </c>
      <c r="E54" s="28" t="e">
        <f t="shared" si="2"/>
        <v>#REF!</v>
      </c>
      <c r="F54" s="29" t="str">
        <f t="shared" si="3"/>
        <v/>
      </c>
    </row>
    <row r="55" spans="1:6" customFormat="1" ht="72.5">
      <c r="A55" s="15">
        <v>53</v>
      </c>
      <c r="B55" s="16" t="s">
        <v>168</v>
      </c>
      <c r="C55" s="17" t="s">
        <v>169</v>
      </c>
      <c r="D55" s="17" t="s">
        <v>20</v>
      </c>
      <c r="E55" s="28" t="e">
        <f t="shared" si="2"/>
        <v>#REF!</v>
      </c>
      <c r="F55" s="29" t="str">
        <f t="shared" si="3"/>
        <v/>
      </c>
    </row>
    <row r="56" spans="1:6" customFormat="1" ht="72.5">
      <c r="A56" s="15">
        <v>54</v>
      </c>
      <c r="B56" s="16" t="s">
        <v>170</v>
      </c>
      <c r="C56" s="17" t="s">
        <v>171</v>
      </c>
      <c r="D56" s="17" t="s">
        <v>20</v>
      </c>
      <c r="E56" s="28" t="e">
        <f t="shared" si="2"/>
        <v>#REF!</v>
      </c>
      <c r="F56" s="29" t="str">
        <f t="shared" si="3"/>
        <v/>
      </c>
    </row>
    <row r="57" spans="1:6" ht="58">
      <c r="A57" s="44">
        <v>55</v>
      </c>
      <c r="B57" s="44" t="s">
        <v>172</v>
      </c>
      <c r="C57" s="53" t="s">
        <v>173</v>
      </c>
      <c r="D57" s="44" t="s">
        <v>174</v>
      </c>
      <c r="E57" s="31" t="e">
        <f t="shared" si="2"/>
        <v>#REF!</v>
      </c>
      <c r="F57" s="45" t="str">
        <f t="shared" si="3"/>
        <v/>
      </c>
    </row>
    <row r="58" spans="1:6" customFormat="1">
      <c r="A58" s="5">
        <v>56</v>
      </c>
      <c r="B58" s="7" t="s">
        <v>175</v>
      </c>
      <c r="C58" s="7" t="s">
        <v>176</v>
      </c>
      <c r="D58" s="7" t="s">
        <v>174</v>
      </c>
      <c r="E58" s="28" t="e">
        <f t="shared" si="2"/>
        <v>#REF!</v>
      </c>
      <c r="F58" s="29" t="str">
        <f t="shared" si="3"/>
        <v/>
      </c>
    </row>
    <row r="59" spans="1:6" ht="43.5">
      <c r="A59" s="44">
        <v>57</v>
      </c>
      <c r="B59" s="44" t="s">
        <v>177</v>
      </c>
      <c r="C59" s="53" t="s">
        <v>178</v>
      </c>
      <c r="D59" s="44" t="s">
        <v>174</v>
      </c>
      <c r="E59" s="31" t="e">
        <f t="shared" si="2"/>
        <v>#REF!</v>
      </c>
      <c r="F59" s="45" t="str">
        <f t="shared" si="3"/>
        <v/>
      </c>
    </row>
    <row r="60" spans="1:6" customFormat="1">
      <c r="A60" s="5">
        <v>58</v>
      </c>
      <c r="B60" s="7" t="s">
        <v>179</v>
      </c>
      <c r="C60" s="7" t="s">
        <v>180</v>
      </c>
      <c r="D60" s="7" t="s">
        <v>181</v>
      </c>
      <c r="E60" s="28" t="e">
        <f t="shared" si="2"/>
        <v>#REF!</v>
      </c>
      <c r="F60" s="29" t="str">
        <f t="shared" si="3"/>
        <v/>
      </c>
    </row>
    <row r="61" spans="1:6" customFormat="1">
      <c r="A61" s="5">
        <v>59</v>
      </c>
      <c r="B61" s="7" t="s">
        <v>182</v>
      </c>
      <c r="C61" s="7" t="s">
        <v>183</v>
      </c>
      <c r="D61" s="7" t="s">
        <v>23</v>
      </c>
      <c r="E61" s="28" t="e">
        <f t="shared" si="2"/>
        <v>#REF!</v>
      </c>
      <c r="F61" s="29" t="str">
        <f t="shared" si="3"/>
        <v/>
      </c>
    </row>
    <row r="62" spans="1:6" customFormat="1">
      <c r="A62" s="5">
        <v>60</v>
      </c>
      <c r="B62" s="7" t="s">
        <v>184</v>
      </c>
      <c r="C62" s="7" t="s">
        <v>185</v>
      </c>
      <c r="D62" s="7" t="s">
        <v>23</v>
      </c>
      <c r="E62" s="28" t="e">
        <f t="shared" si="2"/>
        <v>#REF!</v>
      </c>
      <c r="F62" s="29" t="str">
        <f t="shared" si="3"/>
        <v/>
      </c>
    </row>
    <row r="63" spans="1:6">
      <c r="A63" s="44">
        <v>60</v>
      </c>
      <c r="B63" s="48"/>
      <c r="D63" s="41"/>
      <c r="E63" s="42"/>
    </row>
    <row r="64" spans="1:6">
      <c r="A64" s="44">
        <v>61</v>
      </c>
      <c r="B64" s="48"/>
      <c r="D64" s="41"/>
      <c r="E64" s="42"/>
    </row>
    <row r="65" spans="1:5">
      <c r="A65" s="44">
        <v>62</v>
      </c>
      <c r="B65" s="48"/>
      <c r="D65" s="41"/>
      <c r="E65" s="42"/>
    </row>
    <row r="66" spans="1:5">
      <c r="A66" s="44">
        <v>63</v>
      </c>
      <c r="B66" s="48"/>
      <c r="D66" s="41"/>
      <c r="E66" s="42"/>
    </row>
    <row r="67" spans="1:5">
      <c r="A67" s="44">
        <v>64</v>
      </c>
      <c r="B67" s="48"/>
      <c r="D67" s="41"/>
      <c r="E67" s="42"/>
    </row>
    <row r="68" spans="1:5">
      <c r="A68" s="44">
        <v>65</v>
      </c>
      <c r="B68" s="48"/>
      <c r="D68" s="41"/>
      <c r="E68" s="42"/>
    </row>
    <row r="69" spans="1:5">
      <c r="A69" s="44">
        <v>66</v>
      </c>
      <c r="B69" s="48"/>
      <c r="D69" s="41"/>
      <c r="E69" s="42"/>
    </row>
    <row r="70" spans="1:5">
      <c r="A70" s="44">
        <v>67</v>
      </c>
      <c r="B70" s="48"/>
      <c r="D70" s="41"/>
      <c r="E70" s="42"/>
    </row>
    <row r="71" spans="1:5">
      <c r="A71" s="44">
        <v>68</v>
      </c>
      <c r="B71" s="48"/>
      <c r="D71" s="41"/>
      <c r="E71" s="42"/>
    </row>
    <row r="72" spans="1:5">
      <c r="A72" s="44">
        <v>69</v>
      </c>
      <c r="B72" s="48"/>
      <c r="D72" s="41"/>
      <c r="E72" s="42"/>
    </row>
    <row r="73" spans="1:5">
      <c r="A73" s="44">
        <v>70</v>
      </c>
      <c r="B73" s="48"/>
      <c r="D73" s="41"/>
      <c r="E73" s="42"/>
    </row>
    <row r="74" spans="1:5">
      <c r="A74" s="44">
        <v>71</v>
      </c>
      <c r="B74" s="48"/>
      <c r="D74" s="41"/>
      <c r="E74" s="42"/>
    </row>
    <row r="75" spans="1:5">
      <c r="A75" s="44">
        <v>72</v>
      </c>
      <c r="B75" s="48"/>
      <c r="D75" s="41"/>
      <c r="E75" s="42"/>
    </row>
    <row r="76" spans="1:5">
      <c r="A76" s="44">
        <v>73</v>
      </c>
      <c r="B76" s="48"/>
      <c r="D76" s="41"/>
      <c r="E76" s="42"/>
    </row>
    <row r="77" spans="1:5">
      <c r="A77" s="44">
        <v>74</v>
      </c>
      <c r="B77" s="48"/>
      <c r="D77" s="41"/>
      <c r="E77" s="42"/>
    </row>
    <row r="78" spans="1:5">
      <c r="A78" s="44">
        <v>75</v>
      </c>
      <c r="B78" s="48"/>
      <c r="D78" s="41"/>
      <c r="E78" s="42"/>
    </row>
    <row r="79" spans="1:5">
      <c r="A79" s="44">
        <v>76</v>
      </c>
      <c r="B79" s="48"/>
      <c r="D79" s="41"/>
      <c r="E79" s="42"/>
    </row>
    <row r="80" spans="1:5">
      <c r="A80" s="44">
        <v>77</v>
      </c>
      <c r="B80" s="48"/>
      <c r="D80" s="41"/>
      <c r="E80" s="42"/>
    </row>
    <row r="81" spans="1:5">
      <c r="A81" s="44">
        <v>78</v>
      </c>
      <c r="B81" s="48"/>
      <c r="D81" s="41"/>
      <c r="E81" s="42"/>
    </row>
    <row r="82" spans="1:5">
      <c r="A82" s="44">
        <v>79</v>
      </c>
      <c r="B82" s="48"/>
      <c r="D82" s="41"/>
      <c r="E82" s="42"/>
    </row>
    <row r="83" spans="1:5">
      <c r="A83" s="44">
        <v>80</v>
      </c>
      <c r="B83" s="48"/>
      <c r="D83" s="41"/>
      <c r="E83" s="42"/>
    </row>
    <row r="84" spans="1:5">
      <c r="A84" s="44">
        <v>81</v>
      </c>
      <c r="B84" s="48"/>
      <c r="D84" s="41"/>
      <c r="E84" s="42"/>
    </row>
    <row r="85" spans="1:5">
      <c r="A85" s="44">
        <v>82</v>
      </c>
      <c r="B85" s="48"/>
      <c r="D85" s="41"/>
      <c r="E85" s="42"/>
    </row>
    <row r="86" spans="1:5">
      <c r="A86" s="44">
        <v>83</v>
      </c>
      <c r="B86" s="48"/>
      <c r="D86" s="41"/>
      <c r="E86" s="42"/>
    </row>
    <row r="87" spans="1:5">
      <c r="A87" s="44">
        <v>84</v>
      </c>
      <c r="B87" s="48"/>
      <c r="D87" s="41"/>
      <c r="E87" s="42"/>
    </row>
    <row r="88" spans="1:5">
      <c r="A88" s="44">
        <v>85</v>
      </c>
      <c r="B88" s="48"/>
      <c r="D88" s="41"/>
      <c r="E88" s="42"/>
    </row>
    <row r="89" spans="1:5">
      <c r="A89" s="44">
        <v>86</v>
      </c>
      <c r="B89" s="48"/>
      <c r="D89" s="41"/>
      <c r="E89" s="42"/>
    </row>
    <row r="90" spans="1:5">
      <c r="A90" s="44">
        <v>87</v>
      </c>
      <c r="B90" s="48"/>
      <c r="D90" s="41"/>
      <c r="E90" s="42"/>
    </row>
    <row r="91" spans="1:5">
      <c r="A91" s="44">
        <v>88</v>
      </c>
      <c r="B91" s="48"/>
      <c r="D91" s="41"/>
      <c r="E91" s="42"/>
    </row>
    <row r="92" spans="1:5">
      <c r="A92" s="44">
        <v>89</v>
      </c>
      <c r="B92" s="48"/>
      <c r="D92" s="41"/>
      <c r="E92" s="42"/>
    </row>
    <row r="93" spans="1:5">
      <c r="A93" s="44">
        <v>90</v>
      </c>
      <c r="B93" s="48"/>
      <c r="D93" s="41"/>
      <c r="E93" s="42"/>
    </row>
    <row r="94" spans="1:5">
      <c r="A94" s="44">
        <v>91</v>
      </c>
      <c r="B94" s="48"/>
      <c r="D94" s="41"/>
      <c r="E94" s="42"/>
    </row>
    <row r="95" spans="1:5">
      <c r="A95" s="44">
        <v>92</v>
      </c>
      <c r="B95" s="48"/>
      <c r="D95" s="41"/>
      <c r="E95" s="42"/>
    </row>
    <row r="96" spans="1:5">
      <c r="A96" s="44">
        <v>93</v>
      </c>
      <c r="B96" s="48"/>
      <c r="D96" s="41"/>
      <c r="E96" s="42"/>
    </row>
    <row r="97" spans="1:5">
      <c r="A97" s="44">
        <v>94</v>
      </c>
      <c r="B97" s="48"/>
      <c r="D97" s="41"/>
      <c r="E97" s="42"/>
    </row>
    <row r="98" spans="1:5">
      <c r="A98" s="44">
        <v>95</v>
      </c>
      <c r="B98" s="48"/>
      <c r="D98" s="41"/>
      <c r="E98" s="42"/>
    </row>
    <row r="99" spans="1:5">
      <c r="A99" s="44">
        <v>96</v>
      </c>
      <c r="B99" s="48"/>
      <c r="D99" s="41"/>
      <c r="E99" s="42"/>
    </row>
    <row r="100" spans="1:5">
      <c r="A100" s="44">
        <v>97</v>
      </c>
      <c r="B100" s="48"/>
      <c r="D100" s="41"/>
      <c r="E100" s="42"/>
    </row>
    <row r="101" spans="1:5">
      <c r="B101" s="48"/>
      <c r="D101" s="41"/>
      <c r="E101" s="42"/>
    </row>
    <row r="102" spans="1:5">
      <c r="B102" s="48"/>
      <c r="D102" s="41"/>
      <c r="E102" s="42"/>
    </row>
    <row r="103" spans="1:5" ht="15.5">
      <c r="B103" s="48"/>
      <c r="C103" s="55"/>
      <c r="D103" s="41"/>
      <c r="E103" s="42"/>
    </row>
  </sheetData>
  <autoFilter ref="A2:E100" xr:uid="{6B0CEEF4-B953-41F5-A941-C8CB62F512A6}">
    <sortState xmlns:xlrd2="http://schemas.microsoft.com/office/spreadsheetml/2017/richdata2" ref="A3:E99">
      <sortCondition ref="A2"/>
    </sortState>
  </autoFilter>
  <mergeCells count="1">
    <mergeCell ref="B1:D1"/>
  </mergeCells>
  <conditionalFormatting sqref="E3:E62">
    <cfRule type="cellIs" dxfId="97" priority="2" operator="lessThan">
      <formula>1</formula>
    </cfRule>
    <cfRule type="cellIs" dxfId="96" priority="9" operator="equal">
      <formula>"Pass"</formula>
    </cfRule>
    <cfRule type="cellIs" dxfId="95" priority="10" operator="equal">
      <formula>"Not Pass"</formula>
    </cfRule>
    <cfRule type="cellIs" dxfId="94" priority="11" operator="equal">
      <formula>TRUE</formula>
    </cfRule>
  </conditionalFormatting>
  <pageMargins left="0.7" right="0.7" top="0.75" bottom="0.75" header="0.3" footer="0.3"/>
  <pageSetup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D3B50-D285-4458-A46E-904059DCEBD8}">
  <dimension ref="A1:EJ16"/>
  <sheetViews>
    <sheetView tabSelected="1" topLeftCell="A2" zoomScale="70" zoomScaleNormal="70" workbookViewId="0">
      <pane xSplit="2" topLeftCell="C1" activePane="topRight" state="frozen"/>
      <selection pane="topRight" activeCell="C3" sqref="C3:CI16"/>
    </sheetView>
  </sheetViews>
  <sheetFormatPr defaultColWidth="8.81640625" defaultRowHeight="14.5"/>
  <cols>
    <col min="1" max="1" width="8.81640625" style="18"/>
    <col min="2" max="2" width="45.54296875" style="18" customWidth="1"/>
    <col min="3" max="20" width="20.6328125" style="21" customWidth="1"/>
    <col min="21" max="122" width="20.6328125" style="18" customWidth="1"/>
    <col min="123" max="16384" width="8.81640625" style="18"/>
  </cols>
  <sheetData>
    <row r="1" spans="1:140">
      <c r="B1" s="19" t="s">
        <v>189</v>
      </c>
      <c r="C1" s="20" t="s">
        <v>54</v>
      </c>
      <c r="D1" s="76" t="s">
        <v>221</v>
      </c>
    </row>
    <row r="2" spans="1:140" s="19" customFormat="1" ht="28">
      <c r="A2" s="22" t="s">
        <v>61</v>
      </c>
      <c r="B2" s="22" t="s">
        <v>190</v>
      </c>
      <c r="C2" s="73" t="s">
        <v>229</v>
      </c>
      <c r="D2" s="73" t="s">
        <v>230</v>
      </c>
      <c r="E2" s="73" t="s">
        <v>231</v>
      </c>
      <c r="F2" s="73" t="s">
        <v>232</v>
      </c>
      <c r="G2" s="73" t="s">
        <v>233</v>
      </c>
      <c r="H2" s="73" t="s">
        <v>234</v>
      </c>
      <c r="I2" s="73" t="s">
        <v>235</v>
      </c>
      <c r="J2" s="73" t="s">
        <v>236</v>
      </c>
      <c r="K2" s="73" t="s">
        <v>237</v>
      </c>
      <c r="L2" s="73" t="s">
        <v>238</v>
      </c>
      <c r="M2" s="73" t="s">
        <v>239</v>
      </c>
      <c r="N2" s="73" t="s">
        <v>240</v>
      </c>
      <c r="O2" s="73" t="s">
        <v>241</v>
      </c>
      <c r="P2" s="73" t="s">
        <v>242</v>
      </c>
      <c r="Q2" s="73" t="s">
        <v>243</v>
      </c>
      <c r="R2" s="73" t="s">
        <v>244</v>
      </c>
      <c r="S2" s="73" t="s">
        <v>245</v>
      </c>
      <c r="T2" s="73" t="s">
        <v>246</v>
      </c>
      <c r="U2" s="73" t="s">
        <v>247</v>
      </c>
      <c r="V2" s="73" t="s">
        <v>248</v>
      </c>
      <c r="W2" s="73" t="s">
        <v>249</v>
      </c>
      <c r="X2" s="73" t="s">
        <v>250</v>
      </c>
      <c r="Y2" s="73" t="s">
        <v>251</v>
      </c>
      <c r="Z2" s="73" t="s">
        <v>252</v>
      </c>
      <c r="AA2" s="73" t="s">
        <v>253</v>
      </c>
      <c r="AB2" s="73" t="s">
        <v>254</v>
      </c>
      <c r="AC2" s="73" t="s">
        <v>255</v>
      </c>
      <c r="AD2" s="73" t="s">
        <v>256</v>
      </c>
      <c r="AE2" s="73" t="s">
        <v>257</v>
      </c>
      <c r="AF2" s="73" t="s">
        <v>258</v>
      </c>
      <c r="AG2" s="73" t="s">
        <v>259</v>
      </c>
      <c r="AH2" s="73" t="s">
        <v>260</v>
      </c>
      <c r="AI2" s="73" t="s">
        <v>261</v>
      </c>
      <c r="AJ2" s="73" t="s">
        <v>262</v>
      </c>
      <c r="AK2" s="73" t="s">
        <v>263</v>
      </c>
      <c r="AL2" s="73" t="s">
        <v>264</v>
      </c>
      <c r="AM2" s="73" t="s">
        <v>265</v>
      </c>
      <c r="AN2" s="73" t="s">
        <v>266</v>
      </c>
      <c r="AO2" s="73" t="s">
        <v>267</v>
      </c>
      <c r="AP2" s="73" t="s">
        <v>268</v>
      </c>
      <c r="AQ2" s="73" t="s">
        <v>269</v>
      </c>
      <c r="AR2" s="73" t="s">
        <v>270</v>
      </c>
      <c r="AS2" s="73" t="s">
        <v>271</v>
      </c>
      <c r="AT2" s="73" t="s">
        <v>272</v>
      </c>
      <c r="AU2" s="73" t="s">
        <v>273</v>
      </c>
      <c r="AV2" s="73" t="s">
        <v>274</v>
      </c>
      <c r="AW2" s="73" t="s">
        <v>275</v>
      </c>
      <c r="AX2" s="73" t="s">
        <v>276</v>
      </c>
      <c r="AY2" s="73" t="s">
        <v>278</v>
      </c>
      <c r="AZ2" s="73" t="s">
        <v>279</v>
      </c>
      <c r="BA2" s="73" t="s">
        <v>280</v>
      </c>
      <c r="BB2" s="73" t="s">
        <v>281</v>
      </c>
      <c r="BC2" s="73" t="s">
        <v>282</v>
      </c>
      <c r="BD2" s="73" t="s">
        <v>283</v>
      </c>
      <c r="BE2" s="73" t="s">
        <v>284</v>
      </c>
      <c r="BF2" s="73" t="s">
        <v>285</v>
      </c>
      <c r="BG2" s="73" t="s">
        <v>286</v>
      </c>
      <c r="BH2" s="73" t="s">
        <v>287</v>
      </c>
      <c r="BI2" s="73" t="s">
        <v>288</v>
      </c>
      <c r="BJ2" s="73" t="s">
        <v>289</v>
      </c>
      <c r="BK2" s="73" t="s">
        <v>290</v>
      </c>
      <c r="BL2" s="73" t="s">
        <v>291</v>
      </c>
      <c r="BM2" s="73" t="s">
        <v>292</v>
      </c>
      <c r="BN2" s="73" t="s">
        <v>293</v>
      </c>
      <c r="BO2" s="73" t="s">
        <v>294</v>
      </c>
      <c r="BP2" s="73" t="s">
        <v>295</v>
      </c>
      <c r="BQ2" s="73" t="s">
        <v>296</v>
      </c>
      <c r="BR2" s="73" t="s">
        <v>297</v>
      </c>
      <c r="BS2" s="73" t="s">
        <v>298</v>
      </c>
      <c r="BT2" s="73" t="s">
        <v>299</v>
      </c>
      <c r="BU2" s="73" t="s">
        <v>300</v>
      </c>
      <c r="BV2" s="73" t="s">
        <v>301</v>
      </c>
      <c r="BW2" s="73" t="s">
        <v>302</v>
      </c>
      <c r="BX2" s="73" t="s">
        <v>303</v>
      </c>
      <c r="BY2" s="73" t="s">
        <v>304</v>
      </c>
      <c r="BZ2" s="73" t="s">
        <v>305</v>
      </c>
      <c r="CA2" s="73" t="s">
        <v>307</v>
      </c>
      <c r="CB2" s="73" t="s">
        <v>308</v>
      </c>
      <c r="CC2" s="73" t="s">
        <v>309</v>
      </c>
      <c r="CD2" s="73" t="s">
        <v>310</v>
      </c>
      <c r="CE2" s="73" t="s">
        <v>311</v>
      </c>
      <c r="CF2" s="73" t="s">
        <v>312</v>
      </c>
      <c r="CG2" s="73" t="s">
        <v>313</v>
      </c>
      <c r="CH2" s="73" t="s">
        <v>314</v>
      </c>
      <c r="CI2" s="73" t="s">
        <v>315</v>
      </c>
      <c r="CJ2" s="73" t="s">
        <v>316</v>
      </c>
      <c r="CK2" s="73" t="s">
        <v>317</v>
      </c>
      <c r="CL2" s="73" t="s">
        <v>318</v>
      </c>
      <c r="CM2" s="73" t="s">
        <v>319</v>
      </c>
      <c r="CN2" s="73" t="s">
        <v>320</v>
      </c>
      <c r="CO2" s="73" t="s">
        <v>321</v>
      </c>
      <c r="CP2" s="73" t="s">
        <v>322</v>
      </c>
      <c r="CQ2" s="73" t="s">
        <v>323</v>
      </c>
      <c r="CR2" s="73" t="s">
        <v>324</v>
      </c>
      <c r="CS2" s="73" t="s">
        <v>325</v>
      </c>
      <c r="CT2" s="73" t="s">
        <v>326</v>
      </c>
      <c r="CU2" s="73" t="s">
        <v>327</v>
      </c>
      <c r="CV2" s="73" t="s">
        <v>328</v>
      </c>
      <c r="CW2" s="73" t="s">
        <v>329</v>
      </c>
      <c r="CX2" s="73" t="s">
        <v>330</v>
      </c>
      <c r="CY2" s="73" t="s">
        <v>331</v>
      </c>
      <c r="CZ2" s="73" t="s">
        <v>332</v>
      </c>
      <c r="DA2" s="73" t="s">
        <v>333</v>
      </c>
      <c r="DB2" s="73" t="s">
        <v>334</v>
      </c>
      <c r="DC2" s="73" t="s">
        <v>335</v>
      </c>
      <c r="DD2" s="73" t="s">
        <v>336</v>
      </c>
      <c r="DE2" s="73" t="s">
        <v>337</v>
      </c>
      <c r="DF2" s="73" t="s">
        <v>338</v>
      </c>
      <c r="DG2" s="73" t="s">
        <v>339</v>
      </c>
      <c r="DH2" s="73" t="s">
        <v>340</v>
      </c>
      <c r="DI2" s="73" t="s">
        <v>341</v>
      </c>
      <c r="DJ2" s="73" t="s">
        <v>342</v>
      </c>
      <c r="DK2" s="73" t="s">
        <v>343</v>
      </c>
      <c r="DL2" s="73" t="s">
        <v>344</v>
      </c>
      <c r="DM2" s="73" t="s">
        <v>345</v>
      </c>
      <c r="DN2" s="73" t="s">
        <v>346</v>
      </c>
      <c r="DO2" s="73" t="s">
        <v>347</v>
      </c>
      <c r="DP2" s="73" t="s">
        <v>348</v>
      </c>
      <c r="DQ2" s="73" t="s">
        <v>349</v>
      </c>
      <c r="DR2" s="73" t="s">
        <v>350</v>
      </c>
      <c r="DS2" s="73" t="s">
        <v>351</v>
      </c>
      <c r="DT2" s="73" t="s">
        <v>352</v>
      </c>
      <c r="DU2" s="73" t="s">
        <v>353</v>
      </c>
      <c r="DV2" s="73" t="s">
        <v>354</v>
      </c>
      <c r="DW2" s="73" t="s">
        <v>355</v>
      </c>
      <c r="DX2" s="73" t="s">
        <v>356</v>
      </c>
      <c r="DY2" s="73" t="s">
        <v>357</v>
      </c>
      <c r="DZ2" s="73" t="s">
        <v>358</v>
      </c>
      <c r="EA2" s="73" t="s">
        <v>359</v>
      </c>
      <c r="EB2" s="73" t="s">
        <v>360</v>
      </c>
      <c r="EC2" s="73" t="s">
        <v>361</v>
      </c>
      <c r="ED2" s="73" t="s">
        <v>362</v>
      </c>
      <c r="EE2" s="73" t="s">
        <v>363</v>
      </c>
      <c r="EF2" s="73" t="s">
        <v>364</v>
      </c>
      <c r="EG2" s="73" t="s">
        <v>365</v>
      </c>
      <c r="EH2" s="73" t="s">
        <v>366</v>
      </c>
      <c r="EI2" s="73" t="s">
        <v>367</v>
      </c>
      <c r="EJ2" s="73" t="s">
        <v>368</v>
      </c>
    </row>
    <row r="3" spans="1:140" ht="43.5">
      <c r="A3" s="23">
        <v>1</v>
      </c>
      <c r="B3" s="24" t="s">
        <v>191</v>
      </c>
      <c r="C3" s="77"/>
      <c r="D3" s="77" t="s">
        <v>384</v>
      </c>
      <c r="E3" s="77"/>
      <c r="F3" s="77"/>
      <c r="G3" s="77" t="s">
        <v>385</v>
      </c>
      <c r="H3" s="77" t="s">
        <v>384</v>
      </c>
      <c r="I3" s="77"/>
      <c r="J3" s="77"/>
      <c r="K3" s="77"/>
      <c r="L3" s="77"/>
      <c r="M3" s="77"/>
      <c r="N3" s="77"/>
      <c r="O3" s="77"/>
      <c r="P3" s="77" t="s">
        <v>384</v>
      </c>
      <c r="Q3" s="77"/>
      <c r="R3" s="77" t="s">
        <v>384</v>
      </c>
      <c r="S3" s="77"/>
      <c r="T3" s="77"/>
      <c r="U3" s="77"/>
      <c r="V3" s="77"/>
      <c r="W3" s="77"/>
      <c r="X3" s="77"/>
      <c r="Y3" s="77"/>
      <c r="Z3" s="77" t="s">
        <v>384</v>
      </c>
      <c r="AA3" s="77" t="s">
        <v>384</v>
      </c>
      <c r="AB3" s="77" t="s">
        <v>384</v>
      </c>
      <c r="AC3" s="77" t="s">
        <v>384</v>
      </c>
      <c r="AD3" s="77" t="s">
        <v>384</v>
      </c>
      <c r="AE3" s="77" t="s">
        <v>384</v>
      </c>
      <c r="AF3" s="77" t="s">
        <v>384</v>
      </c>
      <c r="AG3" s="77" t="s">
        <v>384</v>
      </c>
      <c r="AH3" s="77" t="s">
        <v>384</v>
      </c>
      <c r="AI3" s="77" t="s">
        <v>384</v>
      </c>
      <c r="AJ3" s="77"/>
      <c r="AK3" s="77"/>
      <c r="AL3" s="77"/>
      <c r="AM3" s="77"/>
      <c r="AN3" s="77"/>
      <c r="AO3" s="77"/>
      <c r="AP3" s="77"/>
      <c r="AQ3" s="77"/>
      <c r="AR3" s="77"/>
      <c r="AS3" s="77"/>
      <c r="AT3" s="77"/>
      <c r="AU3" s="77" t="s">
        <v>384</v>
      </c>
      <c r="AV3" s="77"/>
      <c r="AW3" s="77" t="s">
        <v>384</v>
      </c>
      <c r="AX3" s="95"/>
      <c r="AY3" s="77" t="s">
        <v>384</v>
      </c>
      <c r="AZ3" s="77" t="s">
        <v>384</v>
      </c>
      <c r="BA3" s="77" t="s">
        <v>384</v>
      </c>
      <c r="BB3" s="77" t="s">
        <v>384</v>
      </c>
      <c r="BC3" s="77" t="s">
        <v>384</v>
      </c>
      <c r="BD3" s="77" t="s">
        <v>384</v>
      </c>
      <c r="BE3" s="77"/>
      <c r="BF3" s="77"/>
      <c r="BG3" s="77"/>
      <c r="BH3" s="77"/>
      <c r="BI3" s="56"/>
      <c r="BJ3" s="56"/>
      <c r="BK3" s="56"/>
      <c r="BL3" s="77"/>
      <c r="BM3" s="56"/>
      <c r="BN3" s="56"/>
      <c r="BO3" s="56"/>
      <c r="BP3" s="56"/>
      <c r="BQ3" s="77" t="s">
        <v>384</v>
      </c>
      <c r="BR3" s="77" t="s">
        <v>384</v>
      </c>
      <c r="BS3" s="77" t="s">
        <v>384</v>
      </c>
      <c r="BT3" s="77" t="s">
        <v>384</v>
      </c>
      <c r="BU3" s="77" t="s">
        <v>384</v>
      </c>
      <c r="BV3" s="77" t="s">
        <v>384</v>
      </c>
      <c r="BW3" s="77" t="s">
        <v>384</v>
      </c>
      <c r="BX3" s="77" t="s">
        <v>384</v>
      </c>
      <c r="BY3" s="77"/>
      <c r="BZ3" s="77"/>
      <c r="CA3" s="77" t="s">
        <v>384</v>
      </c>
      <c r="CB3" s="77" t="s">
        <v>384</v>
      </c>
      <c r="CC3" s="77" t="s">
        <v>384</v>
      </c>
      <c r="CD3" s="77" t="s">
        <v>384</v>
      </c>
      <c r="CE3" s="77" t="s">
        <v>384</v>
      </c>
      <c r="CF3" s="56"/>
      <c r="CG3" s="56"/>
      <c r="CH3" s="77"/>
      <c r="CI3" s="77"/>
      <c r="CJ3" s="77"/>
      <c r="CK3" s="77"/>
      <c r="CL3" s="77"/>
      <c r="CM3" s="77"/>
      <c r="CN3" s="77"/>
      <c r="CO3" s="77"/>
      <c r="CP3" s="77"/>
      <c r="CQ3" s="77"/>
      <c r="CR3" s="77"/>
      <c r="CS3" s="77"/>
      <c r="CT3" s="77"/>
      <c r="CU3" s="77"/>
      <c r="CV3" s="56"/>
      <c r="CW3" s="77"/>
      <c r="CX3" s="77"/>
      <c r="CY3" s="77"/>
      <c r="CZ3" s="77"/>
      <c r="DA3" s="77"/>
      <c r="DB3" s="77"/>
      <c r="DC3" s="56"/>
      <c r="DD3" s="56"/>
      <c r="DE3" s="56"/>
      <c r="DF3" s="56"/>
      <c r="DG3" s="56"/>
      <c r="DH3" s="62"/>
      <c r="DI3" s="62"/>
      <c r="DJ3" s="62"/>
      <c r="DM3" s="62"/>
      <c r="DN3" s="62"/>
      <c r="DO3" s="62"/>
      <c r="DP3" s="62"/>
      <c r="DQ3" s="62"/>
      <c r="DR3" s="62"/>
      <c r="DS3" s="62"/>
      <c r="DT3" s="62"/>
      <c r="DU3" s="62"/>
      <c r="DX3" s="62"/>
      <c r="DY3" s="62"/>
      <c r="DZ3" s="62"/>
      <c r="EA3" s="62"/>
      <c r="EB3" s="62"/>
      <c r="EC3" s="62"/>
    </row>
    <row r="4" spans="1:140" ht="29">
      <c r="A4" s="23">
        <v>2</v>
      </c>
      <c r="B4" s="24" t="s">
        <v>192</v>
      </c>
      <c r="C4" s="77"/>
      <c r="D4" s="77" t="s">
        <v>384</v>
      </c>
      <c r="E4" s="77"/>
      <c r="F4" s="77"/>
      <c r="G4" s="77" t="s">
        <v>384</v>
      </c>
      <c r="H4" s="77" t="s">
        <v>384</v>
      </c>
      <c r="I4" s="77"/>
      <c r="J4" s="77"/>
      <c r="K4" s="77"/>
      <c r="L4" s="77"/>
      <c r="M4" s="77"/>
      <c r="N4" s="77"/>
      <c r="O4" s="77"/>
      <c r="P4" s="77" t="s">
        <v>384</v>
      </c>
      <c r="Q4" s="77"/>
      <c r="R4" s="77" t="s">
        <v>384</v>
      </c>
      <c r="S4" s="77"/>
      <c r="T4" s="77"/>
      <c r="U4" s="77"/>
      <c r="V4" s="77"/>
      <c r="W4" s="77"/>
      <c r="X4" s="77"/>
      <c r="Y4" s="77"/>
      <c r="Z4" s="77" t="s">
        <v>384</v>
      </c>
      <c r="AA4" s="77" t="s">
        <v>384</v>
      </c>
      <c r="AB4" s="77" t="s">
        <v>384</v>
      </c>
      <c r="AC4" s="77" t="s">
        <v>384</v>
      </c>
      <c r="AD4" s="77" t="s">
        <v>384</v>
      </c>
      <c r="AE4" s="77" t="s">
        <v>384</v>
      </c>
      <c r="AF4" s="77" t="s">
        <v>384</v>
      </c>
      <c r="AG4" s="77" t="s">
        <v>384</v>
      </c>
      <c r="AH4" s="77" t="s">
        <v>384</v>
      </c>
      <c r="AI4" s="77" t="s">
        <v>384</v>
      </c>
      <c r="AJ4" s="77"/>
      <c r="AK4" s="77"/>
      <c r="AL4" s="77"/>
      <c r="AM4" s="77"/>
      <c r="AN4" s="77"/>
      <c r="AO4" s="77"/>
      <c r="AP4" s="77"/>
      <c r="AQ4" s="77"/>
      <c r="AR4" s="77"/>
      <c r="AS4" s="77"/>
      <c r="AT4" s="77"/>
      <c r="AU4" s="77" t="s">
        <v>384</v>
      </c>
      <c r="AV4" s="77"/>
      <c r="AW4" s="77" t="s">
        <v>385</v>
      </c>
      <c r="AX4" s="77"/>
      <c r="AY4" s="77" t="s">
        <v>385</v>
      </c>
      <c r="AZ4" s="77" t="s">
        <v>384</v>
      </c>
      <c r="BA4" s="77" t="s">
        <v>384</v>
      </c>
      <c r="BB4" s="77" t="s">
        <v>384</v>
      </c>
      <c r="BC4" s="77" t="s">
        <v>384</v>
      </c>
      <c r="BD4" s="77" t="s">
        <v>384</v>
      </c>
      <c r="BE4" s="77"/>
      <c r="BF4" s="77"/>
      <c r="BG4" s="77"/>
      <c r="BH4" s="77"/>
      <c r="BI4" s="56"/>
      <c r="BJ4" s="56"/>
      <c r="BK4" s="56"/>
      <c r="BL4" s="77"/>
      <c r="BM4" s="56"/>
      <c r="BN4" s="56"/>
      <c r="BO4" s="56"/>
      <c r="BP4" s="56"/>
      <c r="BQ4" s="77" t="s">
        <v>384</v>
      </c>
      <c r="BR4" s="77" t="s">
        <v>384</v>
      </c>
      <c r="BS4" s="77" t="s">
        <v>384</v>
      </c>
      <c r="BT4" s="77" t="s">
        <v>384</v>
      </c>
      <c r="BU4" s="77" t="s">
        <v>384</v>
      </c>
      <c r="BV4" s="77" t="s">
        <v>385</v>
      </c>
      <c r="BW4" s="77" t="s">
        <v>385</v>
      </c>
      <c r="BX4" s="77" t="s">
        <v>384</v>
      </c>
      <c r="BY4" s="77"/>
      <c r="BZ4" s="77"/>
      <c r="CA4" s="77" t="s">
        <v>384</v>
      </c>
      <c r="CB4" s="77" t="s">
        <v>385</v>
      </c>
      <c r="CC4" s="77" t="s">
        <v>384</v>
      </c>
      <c r="CD4" s="77" t="s">
        <v>384</v>
      </c>
      <c r="CE4" s="77" t="s">
        <v>384</v>
      </c>
      <c r="CF4" s="56"/>
      <c r="CG4" s="56"/>
      <c r="CH4" s="77"/>
      <c r="CI4" s="77"/>
      <c r="CJ4" s="77"/>
      <c r="CK4" s="77"/>
      <c r="CL4" s="77"/>
      <c r="CM4" s="77"/>
      <c r="CN4" s="77"/>
      <c r="CO4" s="77"/>
      <c r="CP4" s="77"/>
      <c r="CQ4" s="77"/>
      <c r="CR4" s="77"/>
      <c r="CS4" s="77"/>
      <c r="CT4" s="77"/>
      <c r="CU4" s="77"/>
      <c r="CV4" s="56"/>
      <c r="CW4" s="77"/>
      <c r="CX4" s="77"/>
      <c r="CY4" s="77"/>
      <c r="CZ4" s="77"/>
      <c r="DA4" s="77"/>
      <c r="DB4" s="77"/>
      <c r="DC4" s="56"/>
      <c r="DD4" s="56"/>
      <c r="DE4" s="56"/>
      <c r="DF4" s="56"/>
      <c r="DG4" s="56"/>
      <c r="DH4" s="62"/>
      <c r="DI4" s="62"/>
      <c r="DJ4" s="62"/>
      <c r="DM4" s="62"/>
      <c r="DN4" s="62"/>
      <c r="DO4" s="62"/>
      <c r="DP4" s="62"/>
      <c r="DQ4" s="62"/>
      <c r="DR4" s="62"/>
      <c r="DS4" s="62"/>
      <c r="DT4" s="62"/>
      <c r="DU4" s="62"/>
      <c r="DX4" s="92"/>
      <c r="DY4" s="62"/>
      <c r="DZ4" s="62"/>
      <c r="EA4" s="62"/>
      <c r="EB4" s="62"/>
      <c r="EC4" s="62"/>
    </row>
    <row r="5" spans="1:140" ht="43.5">
      <c r="A5" s="23">
        <v>3</v>
      </c>
      <c r="B5" s="24" t="s">
        <v>193</v>
      </c>
      <c r="C5" s="77"/>
      <c r="D5" s="77" t="s">
        <v>384</v>
      </c>
      <c r="E5" s="77"/>
      <c r="F5" s="77"/>
      <c r="G5" s="77" t="s">
        <v>385</v>
      </c>
      <c r="H5" s="77" t="s">
        <v>384</v>
      </c>
      <c r="I5" s="77"/>
      <c r="J5" s="77"/>
      <c r="K5" s="77"/>
      <c r="L5" s="77"/>
      <c r="M5" s="77"/>
      <c r="N5" s="77"/>
      <c r="O5" s="77"/>
      <c r="P5" s="77" t="s">
        <v>384</v>
      </c>
      <c r="Q5" s="77"/>
      <c r="R5" s="77" t="s">
        <v>384</v>
      </c>
      <c r="S5" s="77"/>
      <c r="T5" s="77"/>
      <c r="U5" s="77"/>
      <c r="V5" s="77"/>
      <c r="W5" s="77"/>
      <c r="X5" s="77"/>
      <c r="Y5" s="77"/>
      <c r="Z5" s="77" t="s">
        <v>384</v>
      </c>
      <c r="AA5" s="77" t="s">
        <v>384</v>
      </c>
      <c r="AB5" s="77" t="s">
        <v>384</v>
      </c>
      <c r="AC5" s="77" t="s">
        <v>384</v>
      </c>
      <c r="AD5" s="77" t="s">
        <v>384</v>
      </c>
      <c r="AE5" s="77" t="s">
        <v>384</v>
      </c>
      <c r="AF5" s="77" t="s">
        <v>384</v>
      </c>
      <c r="AG5" s="77" t="s">
        <v>384</v>
      </c>
      <c r="AH5" s="77" t="s">
        <v>384</v>
      </c>
      <c r="AI5" s="77" t="s">
        <v>384</v>
      </c>
      <c r="AJ5" s="77"/>
      <c r="AK5" s="77"/>
      <c r="AL5" s="77"/>
      <c r="AM5" s="77"/>
      <c r="AN5" s="77"/>
      <c r="AO5" s="77"/>
      <c r="AP5" s="77"/>
      <c r="AQ5" s="77"/>
      <c r="AR5" s="77"/>
      <c r="AS5" s="77"/>
      <c r="AT5" s="77"/>
      <c r="AU5" s="77" t="s">
        <v>384</v>
      </c>
      <c r="AV5" s="77"/>
      <c r="AW5" s="77" t="s">
        <v>384</v>
      </c>
      <c r="AX5" s="77"/>
      <c r="AY5" s="77" t="s">
        <v>384</v>
      </c>
      <c r="AZ5" s="77" t="s">
        <v>384</v>
      </c>
      <c r="BA5" s="77" t="s">
        <v>384</v>
      </c>
      <c r="BB5" s="77" t="s">
        <v>384</v>
      </c>
      <c r="BC5" s="77" t="s">
        <v>384</v>
      </c>
      <c r="BD5" s="77" t="s">
        <v>384</v>
      </c>
      <c r="BE5" s="77"/>
      <c r="BF5" s="77"/>
      <c r="BG5" s="77"/>
      <c r="BH5" s="77"/>
      <c r="BI5" s="56"/>
      <c r="BJ5" s="56"/>
      <c r="BK5" s="56"/>
      <c r="BL5" s="77"/>
      <c r="BM5" s="56"/>
      <c r="BN5" s="56"/>
      <c r="BO5" s="56"/>
      <c r="BP5" s="56"/>
      <c r="BQ5" s="77" t="s">
        <v>384</v>
      </c>
      <c r="BR5" s="77" t="s">
        <v>384</v>
      </c>
      <c r="BS5" s="77" t="s">
        <v>384</v>
      </c>
      <c r="BT5" s="77" t="s">
        <v>384</v>
      </c>
      <c r="BU5" s="77" t="s">
        <v>384</v>
      </c>
      <c r="BV5" s="77" t="s">
        <v>384</v>
      </c>
      <c r="BW5" s="77" t="s">
        <v>384</v>
      </c>
      <c r="BX5" s="77" t="s">
        <v>384</v>
      </c>
      <c r="BY5" s="77"/>
      <c r="BZ5" s="77"/>
      <c r="CA5" s="77" t="s">
        <v>384</v>
      </c>
      <c r="CB5" s="77" t="s">
        <v>384</v>
      </c>
      <c r="CC5" s="77" t="s">
        <v>384</v>
      </c>
      <c r="CD5" s="77" t="s">
        <v>384</v>
      </c>
      <c r="CE5" s="77" t="s">
        <v>384</v>
      </c>
      <c r="CF5" s="56"/>
      <c r="CG5" s="56"/>
      <c r="CH5" s="77"/>
      <c r="CI5" s="77"/>
      <c r="CJ5" s="77"/>
      <c r="CK5" s="77"/>
      <c r="CL5" s="77"/>
      <c r="CM5" s="77"/>
      <c r="CN5" s="77"/>
      <c r="CO5" s="77"/>
      <c r="CP5" s="77"/>
      <c r="CQ5" s="77"/>
      <c r="CR5" s="77"/>
      <c r="CS5" s="77"/>
      <c r="CT5" s="77"/>
      <c r="CU5" s="77"/>
      <c r="CV5" s="56"/>
      <c r="CW5" s="77"/>
      <c r="CX5" s="77"/>
      <c r="CY5" s="77"/>
      <c r="CZ5" s="77"/>
      <c r="DA5" s="77"/>
      <c r="DB5" s="77"/>
      <c r="DC5" s="56"/>
      <c r="DD5" s="56"/>
      <c r="DE5" s="56"/>
      <c r="DF5" s="56"/>
      <c r="DG5" s="56"/>
      <c r="DH5" s="62"/>
      <c r="DI5" s="62"/>
      <c r="DJ5" s="62"/>
      <c r="DM5" s="62"/>
      <c r="DN5" s="62"/>
      <c r="DO5" s="62"/>
      <c r="DP5" s="62"/>
      <c r="DQ5" s="62"/>
      <c r="DR5" s="62"/>
      <c r="DS5" s="62"/>
      <c r="DT5" s="62"/>
      <c r="DU5" s="62"/>
      <c r="DX5" s="62"/>
      <c r="DY5" s="62"/>
      <c r="DZ5" s="62"/>
      <c r="EA5" s="62"/>
      <c r="EB5" s="62"/>
      <c r="EC5" s="62"/>
    </row>
    <row r="6" spans="1:140" ht="29">
      <c r="A6" s="23">
        <v>4</v>
      </c>
      <c r="B6" s="24" t="s">
        <v>194</v>
      </c>
      <c r="C6" s="77"/>
      <c r="D6" s="77" t="s">
        <v>384</v>
      </c>
      <c r="E6" s="77"/>
      <c r="F6" s="77"/>
      <c r="G6" s="77" t="s">
        <v>384</v>
      </c>
      <c r="H6" s="77" t="s">
        <v>384</v>
      </c>
      <c r="I6" s="77"/>
      <c r="J6" s="77"/>
      <c r="K6" s="77"/>
      <c r="L6" s="77"/>
      <c r="M6" s="77"/>
      <c r="N6" s="77"/>
      <c r="O6" s="77"/>
      <c r="P6" s="77" t="s">
        <v>384</v>
      </c>
      <c r="Q6" s="77"/>
      <c r="R6" s="77" t="s">
        <v>384</v>
      </c>
      <c r="S6" s="77"/>
      <c r="T6" s="77"/>
      <c r="U6" s="77"/>
      <c r="V6" s="77"/>
      <c r="W6" s="77"/>
      <c r="X6" s="77"/>
      <c r="Y6" s="77"/>
      <c r="Z6" s="77" t="s">
        <v>384</v>
      </c>
      <c r="AA6" s="77" t="s">
        <v>384</v>
      </c>
      <c r="AB6" s="77" t="s">
        <v>384</v>
      </c>
      <c r="AC6" s="77" t="s">
        <v>384</v>
      </c>
      <c r="AD6" s="77" t="s">
        <v>384</v>
      </c>
      <c r="AE6" s="77" t="s">
        <v>384</v>
      </c>
      <c r="AF6" s="77" t="s">
        <v>384</v>
      </c>
      <c r="AG6" s="77" t="s">
        <v>384</v>
      </c>
      <c r="AH6" s="77" t="s">
        <v>384</v>
      </c>
      <c r="AI6" s="77" t="s">
        <v>384</v>
      </c>
      <c r="AJ6" s="77"/>
      <c r="AK6" s="77"/>
      <c r="AL6" s="77"/>
      <c r="AM6" s="77"/>
      <c r="AN6" s="77"/>
      <c r="AO6" s="77"/>
      <c r="AP6" s="77"/>
      <c r="AQ6" s="77"/>
      <c r="AR6" s="77"/>
      <c r="AS6" s="77"/>
      <c r="AT6" s="77"/>
      <c r="AU6" s="77" t="s">
        <v>384</v>
      </c>
      <c r="AV6" s="77"/>
      <c r="AW6" s="77" t="s">
        <v>384</v>
      </c>
      <c r="AX6" s="77"/>
      <c r="AY6" s="77" t="s">
        <v>384</v>
      </c>
      <c r="AZ6" s="77" t="s">
        <v>384</v>
      </c>
      <c r="BA6" s="77" t="s">
        <v>384</v>
      </c>
      <c r="BB6" s="77" t="s">
        <v>384</v>
      </c>
      <c r="BC6" s="77" t="s">
        <v>384</v>
      </c>
      <c r="BD6" s="77" t="s">
        <v>384</v>
      </c>
      <c r="BE6" s="77"/>
      <c r="BF6" s="77"/>
      <c r="BG6" s="77"/>
      <c r="BH6" s="77"/>
      <c r="BI6" s="56"/>
      <c r="BJ6" s="56"/>
      <c r="BK6" s="56"/>
      <c r="BL6" s="77"/>
      <c r="BM6" s="56"/>
      <c r="BN6" s="56"/>
      <c r="BO6" s="56"/>
      <c r="BP6" s="56"/>
      <c r="BQ6" s="77" t="s">
        <v>384</v>
      </c>
      <c r="BR6" s="77" t="s">
        <v>384</v>
      </c>
      <c r="BS6" s="77" t="s">
        <v>384</v>
      </c>
      <c r="BT6" s="77" t="s">
        <v>384</v>
      </c>
      <c r="BU6" s="77" t="s">
        <v>384</v>
      </c>
      <c r="BV6" s="77" t="s">
        <v>384</v>
      </c>
      <c r="BW6" s="77" t="s">
        <v>384</v>
      </c>
      <c r="BX6" s="77" t="s">
        <v>384</v>
      </c>
      <c r="BY6" s="77"/>
      <c r="BZ6" s="77"/>
      <c r="CA6" s="77" t="s">
        <v>384</v>
      </c>
      <c r="CB6" s="77" t="s">
        <v>384</v>
      </c>
      <c r="CC6" s="77" t="s">
        <v>384</v>
      </c>
      <c r="CD6" s="77" t="s">
        <v>384</v>
      </c>
      <c r="CE6" s="77" t="s">
        <v>384</v>
      </c>
      <c r="CF6" s="56"/>
      <c r="CG6" s="56"/>
      <c r="CH6" s="77"/>
      <c r="CI6" s="77"/>
      <c r="CJ6" s="77"/>
      <c r="CK6" s="95"/>
      <c r="CL6" s="77"/>
      <c r="CM6" s="95"/>
      <c r="CN6" s="77"/>
      <c r="CO6" s="77"/>
      <c r="CP6" s="77"/>
      <c r="CQ6" s="77"/>
      <c r="CR6" s="77"/>
      <c r="CS6" s="77"/>
      <c r="CT6" s="77"/>
      <c r="CU6" s="77"/>
      <c r="CV6" s="56"/>
      <c r="CW6" s="77"/>
      <c r="CX6" s="77"/>
      <c r="CY6" s="77"/>
      <c r="CZ6" s="77"/>
      <c r="DA6" s="77"/>
      <c r="DB6" s="77"/>
      <c r="DC6" s="56"/>
      <c r="DD6" s="56"/>
      <c r="DE6" s="56"/>
      <c r="DF6" s="56"/>
      <c r="DG6" s="56"/>
      <c r="DH6" s="62"/>
      <c r="DI6" s="62"/>
      <c r="DJ6" s="62"/>
      <c r="DM6" s="62"/>
      <c r="DN6" s="62"/>
      <c r="DO6" s="62"/>
      <c r="DP6" s="62"/>
      <c r="DQ6" s="62"/>
      <c r="DR6" s="62"/>
      <c r="DS6" s="62"/>
      <c r="DT6" s="62"/>
      <c r="DU6" s="62"/>
      <c r="DX6" s="62"/>
      <c r="DY6" s="62"/>
      <c r="DZ6" s="62"/>
      <c r="EA6" s="62"/>
      <c r="EB6" s="62"/>
      <c r="EC6" s="92"/>
    </row>
    <row r="7" spans="1:140" ht="43.5">
      <c r="A7" s="23">
        <v>5</v>
      </c>
      <c r="B7" s="24" t="s">
        <v>195</v>
      </c>
      <c r="C7" s="77"/>
      <c r="D7" s="77" t="s">
        <v>384</v>
      </c>
      <c r="E7" s="77"/>
      <c r="F7" s="77"/>
      <c r="G7" s="77" t="s">
        <v>385</v>
      </c>
      <c r="H7" s="77" t="s">
        <v>385</v>
      </c>
      <c r="I7" s="77"/>
      <c r="J7" s="77"/>
      <c r="K7" s="77"/>
      <c r="L7" s="77"/>
      <c r="M7" s="77"/>
      <c r="N7" s="77"/>
      <c r="O7" s="77"/>
      <c r="P7" s="77" t="s">
        <v>384</v>
      </c>
      <c r="Q7" s="77"/>
      <c r="R7" s="77" t="s">
        <v>384</v>
      </c>
      <c r="S7" s="77"/>
      <c r="T7" s="77"/>
      <c r="U7" s="77"/>
      <c r="V7" s="77"/>
      <c r="W7" s="77"/>
      <c r="X7" s="77"/>
      <c r="Y7" s="77"/>
      <c r="Z7" s="77" t="s">
        <v>384</v>
      </c>
      <c r="AA7" s="77" t="s">
        <v>384</v>
      </c>
      <c r="AB7" s="77" t="s">
        <v>384</v>
      </c>
      <c r="AC7" s="77" t="s">
        <v>384</v>
      </c>
      <c r="AD7" s="77" t="s">
        <v>384</v>
      </c>
      <c r="AE7" s="77" t="s">
        <v>385</v>
      </c>
      <c r="AF7" s="77" t="s">
        <v>385</v>
      </c>
      <c r="AG7" s="77" t="s">
        <v>384</v>
      </c>
      <c r="AH7" s="77" t="s">
        <v>384</v>
      </c>
      <c r="AI7" s="77" t="s">
        <v>384</v>
      </c>
      <c r="AJ7" s="77"/>
      <c r="AK7" s="77"/>
      <c r="AL7" s="77"/>
      <c r="AM7" s="77"/>
      <c r="AN7" s="77"/>
      <c r="AO7" s="77"/>
      <c r="AP7" s="77"/>
      <c r="AQ7" s="77"/>
      <c r="AR7" s="77"/>
      <c r="AS7" s="77"/>
      <c r="AT7" s="77"/>
      <c r="AU7" s="77" t="s">
        <v>384</v>
      </c>
      <c r="AV7" s="77"/>
      <c r="AW7" s="77" t="s">
        <v>385</v>
      </c>
      <c r="AX7" s="77"/>
      <c r="AY7" s="77" t="s">
        <v>385</v>
      </c>
      <c r="AZ7" s="77" t="s">
        <v>384</v>
      </c>
      <c r="BA7" s="77" t="s">
        <v>384</v>
      </c>
      <c r="BB7" s="77" t="s">
        <v>384</v>
      </c>
      <c r="BC7" s="77" t="s">
        <v>384</v>
      </c>
      <c r="BD7" s="77" t="s">
        <v>384</v>
      </c>
      <c r="BE7" s="77"/>
      <c r="BF7" s="77"/>
      <c r="BG7" s="77"/>
      <c r="BH7" s="77"/>
      <c r="BI7" s="56"/>
      <c r="BJ7" s="56"/>
      <c r="BK7" s="56"/>
      <c r="BL7" s="77"/>
      <c r="BM7" s="56"/>
      <c r="BN7" s="56"/>
      <c r="BO7" s="56"/>
      <c r="BP7" s="56"/>
      <c r="BQ7" s="77" t="s">
        <v>384</v>
      </c>
      <c r="BR7" s="77" t="s">
        <v>384</v>
      </c>
      <c r="BS7" s="77" t="s">
        <v>384</v>
      </c>
      <c r="BT7" s="77" t="s">
        <v>384</v>
      </c>
      <c r="BU7" s="77" t="s">
        <v>384</v>
      </c>
      <c r="BV7" s="77" t="s">
        <v>385</v>
      </c>
      <c r="BW7" s="77" t="s">
        <v>385</v>
      </c>
      <c r="BX7" s="77" t="s">
        <v>384</v>
      </c>
      <c r="BY7" s="77"/>
      <c r="BZ7" s="77"/>
      <c r="CA7" s="77" t="s">
        <v>384</v>
      </c>
      <c r="CB7" s="77" t="s">
        <v>385</v>
      </c>
      <c r="CC7" s="77" t="s">
        <v>384</v>
      </c>
      <c r="CD7" s="77" t="s">
        <v>384</v>
      </c>
      <c r="CE7" s="77" t="s">
        <v>384</v>
      </c>
      <c r="CF7" s="56"/>
      <c r="CG7" s="56"/>
      <c r="CH7" s="77"/>
      <c r="CI7" s="77"/>
      <c r="CJ7" s="77"/>
      <c r="CK7" s="95"/>
      <c r="CL7" s="77"/>
      <c r="CM7" s="95"/>
      <c r="CN7" s="77"/>
      <c r="CO7" s="77"/>
      <c r="CP7" s="77"/>
      <c r="CQ7" s="77"/>
      <c r="CR7" s="77"/>
      <c r="CS7" s="77"/>
      <c r="CT7" s="77"/>
      <c r="CU7" s="77"/>
      <c r="CV7" s="56"/>
      <c r="CW7" s="77"/>
      <c r="CX7" s="77"/>
      <c r="CY7" s="77"/>
      <c r="CZ7" s="77"/>
      <c r="DA7" s="77"/>
      <c r="DB7" s="77"/>
      <c r="DC7" s="56"/>
      <c r="DD7" s="56"/>
      <c r="DE7" s="56"/>
      <c r="DF7" s="56"/>
      <c r="DG7" s="56"/>
      <c r="DH7" s="62"/>
      <c r="DI7" s="62"/>
      <c r="DJ7" s="62"/>
      <c r="DM7" s="92"/>
      <c r="DN7" s="62"/>
      <c r="DO7" s="62"/>
      <c r="DP7" s="62"/>
      <c r="DQ7" s="62"/>
      <c r="DR7" s="62"/>
      <c r="DS7" s="62"/>
      <c r="DT7" s="62"/>
      <c r="DU7" s="62"/>
      <c r="DX7" s="62"/>
      <c r="DY7" s="62"/>
      <c r="DZ7" s="62"/>
      <c r="EA7" s="62"/>
      <c r="EB7" s="62"/>
      <c r="EC7" s="92"/>
    </row>
    <row r="8" spans="1:140" ht="29">
      <c r="A8" s="23">
        <v>6</v>
      </c>
      <c r="B8" s="24" t="s">
        <v>196</v>
      </c>
      <c r="C8" s="77"/>
      <c r="D8" s="77" t="s">
        <v>385</v>
      </c>
      <c r="E8" s="77"/>
      <c r="F8" s="77"/>
      <c r="G8" s="77" t="s">
        <v>385</v>
      </c>
      <c r="H8" s="77" t="s">
        <v>385</v>
      </c>
      <c r="I8" s="77"/>
      <c r="J8" s="77"/>
      <c r="K8" s="77"/>
      <c r="L8" s="77"/>
      <c r="M8" s="77"/>
      <c r="N8" s="77"/>
      <c r="O8" s="77"/>
      <c r="P8" s="77" t="s">
        <v>385</v>
      </c>
      <c r="Q8" s="77"/>
      <c r="R8" s="77" t="s">
        <v>385</v>
      </c>
      <c r="S8" s="77"/>
      <c r="T8" s="77"/>
      <c r="U8" s="77"/>
      <c r="V8" s="77"/>
      <c r="W8" s="77"/>
      <c r="X8" s="77"/>
      <c r="Y8" s="77"/>
      <c r="Z8" s="77" t="s">
        <v>385</v>
      </c>
      <c r="AA8" s="77" t="s">
        <v>385</v>
      </c>
      <c r="AB8" s="77" t="s">
        <v>385</v>
      </c>
      <c r="AC8" s="77" t="s">
        <v>385</v>
      </c>
      <c r="AD8" s="77" t="s">
        <v>385</v>
      </c>
      <c r="AE8" s="77" t="s">
        <v>385</v>
      </c>
      <c r="AF8" s="77" t="s">
        <v>385</v>
      </c>
      <c r="AG8" s="77" t="s">
        <v>385</v>
      </c>
      <c r="AH8" s="77" t="s">
        <v>385</v>
      </c>
      <c r="AI8" s="77" t="s">
        <v>385</v>
      </c>
      <c r="AJ8" s="77"/>
      <c r="AK8" s="77"/>
      <c r="AL8" s="77"/>
      <c r="AM8" s="77"/>
      <c r="AN8" s="77"/>
      <c r="AO8" s="77"/>
      <c r="AP8" s="77"/>
      <c r="AQ8" s="77"/>
      <c r="AR8" s="77"/>
      <c r="AS8" s="77"/>
      <c r="AT8" s="77"/>
      <c r="AU8" s="77" t="s">
        <v>385</v>
      </c>
      <c r="AV8" s="77"/>
      <c r="AW8" s="77" t="s">
        <v>385</v>
      </c>
      <c r="AX8" s="77"/>
      <c r="AY8" s="77" t="s">
        <v>385</v>
      </c>
      <c r="AZ8" s="77" t="s">
        <v>385</v>
      </c>
      <c r="BA8" s="77" t="s">
        <v>385</v>
      </c>
      <c r="BB8" s="77" t="s">
        <v>385</v>
      </c>
      <c r="BC8" s="77" t="s">
        <v>385</v>
      </c>
      <c r="BD8" s="77" t="s">
        <v>385</v>
      </c>
      <c r="BE8" s="77"/>
      <c r="BF8" s="77"/>
      <c r="BG8" s="77"/>
      <c r="BH8" s="77"/>
      <c r="BI8" s="56"/>
      <c r="BJ8" s="56"/>
      <c r="BK8" s="56"/>
      <c r="BL8" s="77"/>
      <c r="BM8" s="56"/>
      <c r="BN8" s="56"/>
      <c r="BO8" s="56"/>
      <c r="BP8" s="56"/>
      <c r="BQ8" s="77" t="s">
        <v>385</v>
      </c>
      <c r="BR8" s="77" t="s">
        <v>385</v>
      </c>
      <c r="BS8" s="77" t="s">
        <v>385</v>
      </c>
      <c r="BT8" s="77" t="s">
        <v>385</v>
      </c>
      <c r="BU8" s="77" t="s">
        <v>385</v>
      </c>
      <c r="BV8" s="77" t="s">
        <v>385</v>
      </c>
      <c r="BW8" s="77" t="s">
        <v>385</v>
      </c>
      <c r="BX8" s="77" t="s">
        <v>385</v>
      </c>
      <c r="BY8" s="77"/>
      <c r="BZ8" s="77"/>
      <c r="CA8" s="77" t="s">
        <v>385</v>
      </c>
      <c r="CB8" s="77" t="s">
        <v>385</v>
      </c>
      <c r="CC8" s="77" t="s">
        <v>385</v>
      </c>
      <c r="CD8" s="77" t="s">
        <v>385</v>
      </c>
      <c r="CE8" s="77" t="s">
        <v>385</v>
      </c>
      <c r="CF8" s="56"/>
      <c r="CG8" s="56"/>
      <c r="CH8" s="77"/>
      <c r="CI8" s="77"/>
      <c r="CJ8" s="77"/>
      <c r="CK8" s="77"/>
      <c r="CL8" s="77"/>
      <c r="CM8" s="77"/>
      <c r="CN8" s="77"/>
      <c r="CO8" s="77"/>
      <c r="CP8" s="77"/>
      <c r="CQ8" s="77"/>
      <c r="CR8" s="77"/>
      <c r="CS8" s="77"/>
      <c r="CT8" s="77"/>
      <c r="CU8" s="77"/>
      <c r="CV8" s="56"/>
      <c r="CW8" s="77"/>
      <c r="CX8" s="77"/>
      <c r="CY8" s="77"/>
      <c r="CZ8" s="77"/>
      <c r="DA8" s="77"/>
      <c r="DB8" s="77"/>
      <c r="DC8" s="56"/>
      <c r="DD8" s="56"/>
      <c r="DE8" s="56"/>
      <c r="DF8" s="56"/>
      <c r="DG8" s="56"/>
      <c r="DH8" s="92"/>
      <c r="DI8" s="92"/>
      <c r="DJ8" s="92"/>
      <c r="DM8" s="92"/>
      <c r="DN8" s="92"/>
      <c r="DO8" s="92"/>
      <c r="DP8" s="92"/>
      <c r="DQ8" s="92"/>
      <c r="DR8" s="92"/>
      <c r="DS8" s="92"/>
      <c r="DT8" s="92"/>
      <c r="DU8" s="92"/>
      <c r="DX8" s="92"/>
      <c r="DY8" s="92"/>
      <c r="DZ8" s="92"/>
      <c r="EA8" s="92"/>
      <c r="EB8" s="92"/>
      <c r="EC8" s="92"/>
    </row>
    <row r="9" spans="1:140" ht="58">
      <c r="A9" s="23">
        <v>7</v>
      </c>
      <c r="B9" s="24" t="s">
        <v>197</v>
      </c>
      <c r="C9" s="77"/>
      <c r="D9" s="77" t="s">
        <v>384</v>
      </c>
      <c r="E9" s="77"/>
      <c r="F9" s="77"/>
      <c r="G9" s="77" t="s">
        <v>384</v>
      </c>
      <c r="H9" s="77" t="s">
        <v>384</v>
      </c>
      <c r="I9" s="77"/>
      <c r="J9" s="77"/>
      <c r="K9" s="77"/>
      <c r="L9" s="77"/>
      <c r="M9" s="77"/>
      <c r="N9" s="77"/>
      <c r="O9" s="77"/>
      <c r="P9" s="77" t="s">
        <v>384</v>
      </c>
      <c r="Q9" s="77"/>
      <c r="R9" s="77" t="s">
        <v>384</v>
      </c>
      <c r="S9" s="77"/>
      <c r="T9" s="77"/>
      <c r="U9" s="77"/>
      <c r="V9" s="77"/>
      <c r="W9" s="77"/>
      <c r="X9" s="77"/>
      <c r="Y9" s="77"/>
      <c r="Z9" s="77" t="s">
        <v>384</v>
      </c>
      <c r="AA9" s="77" t="s">
        <v>384</v>
      </c>
      <c r="AB9" s="77" t="s">
        <v>384</v>
      </c>
      <c r="AC9" s="77" t="s">
        <v>384</v>
      </c>
      <c r="AD9" s="77" t="s">
        <v>384</v>
      </c>
      <c r="AE9" s="77" t="s">
        <v>384</v>
      </c>
      <c r="AF9" s="77" t="s">
        <v>384</v>
      </c>
      <c r="AG9" s="77" t="s">
        <v>384</v>
      </c>
      <c r="AH9" s="77" t="s">
        <v>384</v>
      </c>
      <c r="AI9" s="77" t="s">
        <v>384</v>
      </c>
      <c r="AJ9" s="77"/>
      <c r="AK9" s="77"/>
      <c r="AL9" s="77"/>
      <c r="AM9" s="77"/>
      <c r="AN9" s="77"/>
      <c r="AO9" s="77"/>
      <c r="AP9" s="77"/>
      <c r="AQ9" s="77"/>
      <c r="AR9" s="77"/>
      <c r="AS9" s="77"/>
      <c r="AT9" s="77"/>
      <c r="AU9" s="77" t="s">
        <v>384</v>
      </c>
      <c r="AV9" s="77"/>
      <c r="AW9" s="77" t="s">
        <v>384</v>
      </c>
      <c r="AX9" s="77"/>
      <c r="AY9" s="77" t="s">
        <v>384</v>
      </c>
      <c r="AZ9" s="77" t="s">
        <v>384</v>
      </c>
      <c r="BA9" s="77" t="s">
        <v>384</v>
      </c>
      <c r="BB9" s="77" t="s">
        <v>384</v>
      </c>
      <c r="BC9" s="77" t="s">
        <v>384</v>
      </c>
      <c r="BD9" s="77" t="s">
        <v>384</v>
      </c>
      <c r="BE9" s="77"/>
      <c r="BF9" s="77"/>
      <c r="BG9" s="77"/>
      <c r="BH9" s="77"/>
      <c r="BI9" s="56"/>
      <c r="BJ9" s="56"/>
      <c r="BK9" s="56"/>
      <c r="BL9" s="77"/>
      <c r="BM9" s="56"/>
      <c r="BN9" s="56"/>
      <c r="BO9" s="56"/>
      <c r="BP9" s="56"/>
      <c r="BQ9" s="77" t="s">
        <v>384</v>
      </c>
      <c r="BR9" s="77" t="s">
        <v>384</v>
      </c>
      <c r="BS9" s="77" t="s">
        <v>384</v>
      </c>
      <c r="BT9" s="77" t="s">
        <v>384</v>
      </c>
      <c r="BU9" s="77" t="s">
        <v>384</v>
      </c>
      <c r="BV9" s="77" t="s">
        <v>384</v>
      </c>
      <c r="BW9" s="77" t="s">
        <v>384</v>
      </c>
      <c r="BX9" s="77" t="s">
        <v>384</v>
      </c>
      <c r="BY9" s="77"/>
      <c r="BZ9" s="77"/>
      <c r="CA9" s="77" t="s">
        <v>384</v>
      </c>
      <c r="CB9" s="77" t="s">
        <v>384</v>
      </c>
      <c r="CC9" s="77" t="s">
        <v>384</v>
      </c>
      <c r="CD9" s="77" t="s">
        <v>384</v>
      </c>
      <c r="CE9" s="77" t="s">
        <v>384</v>
      </c>
      <c r="CF9" s="56"/>
      <c r="CG9" s="56"/>
      <c r="CH9" s="77"/>
      <c r="CI9" s="77"/>
      <c r="CJ9" s="77"/>
      <c r="CK9" s="77"/>
      <c r="CL9" s="77"/>
      <c r="CM9" s="77"/>
      <c r="CN9" s="77"/>
      <c r="CO9" s="77"/>
      <c r="CP9" s="77"/>
      <c r="CQ9" s="77"/>
      <c r="CR9" s="77"/>
      <c r="CS9" s="77"/>
      <c r="CT9" s="77"/>
      <c r="CU9" s="77"/>
      <c r="CV9" s="56"/>
      <c r="CW9" s="77"/>
      <c r="CX9" s="77"/>
      <c r="CY9" s="77"/>
      <c r="CZ9" s="77"/>
      <c r="DA9" s="77"/>
      <c r="DB9" s="77"/>
      <c r="DC9" s="56"/>
      <c r="DD9" s="56"/>
      <c r="DE9" s="56"/>
      <c r="DF9" s="56"/>
      <c r="DG9" s="56"/>
      <c r="DH9" s="62"/>
      <c r="DI9" s="62"/>
      <c r="DJ9" s="62"/>
      <c r="DM9" s="62"/>
      <c r="DN9" s="62"/>
      <c r="DO9" s="62"/>
      <c r="DP9" s="62"/>
      <c r="DQ9" s="62"/>
      <c r="DR9" s="62"/>
      <c r="DS9" s="62"/>
      <c r="DT9" s="62"/>
      <c r="DU9" s="62"/>
      <c r="DX9" s="62"/>
      <c r="DY9" s="62"/>
      <c r="DZ9" s="62"/>
      <c r="EA9" s="62"/>
      <c r="EB9" s="62"/>
      <c r="EC9" s="62"/>
    </row>
    <row r="10" spans="1:140" ht="58">
      <c r="A10" s="23">
        <v>8</v>
      </c>
      <c r="B10" s="24" t="s">
        <v>198</v>
      </c>
      <c r="C10" s="77"/>
      <c r="D10" s="77" t="s">
        <v>384</v>
      </c>
      <c r="E10" s="77"/>
      <c r="F10" s="77"/>
      <c r="G10" s="77" t="s">
        <v>384</v>
      </c>
      <c r="H10" s="77" t="s">
        <v>384</v>
      </c>
      <c r="I10" s="77"/>
      <c r="J10" s="77"/>
      <c r="K10" s="77"/>
      <c r="L10" s="77"/>
      <c r="M10" s="77"/>
      <c r="N10" s="77"/>
      <c r="O10" s="77"/>
      <c r="P10" s="77" t="s">
        <v>384</v>
      </c>
      <c r="Q10" s="77"/>
      <c r="R10" s="77" t="s">
        <v>384</v>
      </c>
      <c r="S10" s="77"/>
      <c r="T10" s="77"/>
      <c r="U10" s="77"/>
      <c r="V10" s="77"/>
      <c r="W10" s="77"/>
      <c r="X10" s="77"/>
      <c r="Y10" s="77"/>
      <c r="Z10" s="77" t="s">
        <v>384</v>
      </c>
      <c r="AA10" s="77" t="s">
        <v>384</v>
      </c>
      <c r="AB10" s="77" t="s">
        <v>384</v>
      </c>
      <c r="AC10" s="77" t="s">
        <v>384</v>
      </c>
      <c r="AD10" s="77" t="s">
        <v>384</v>
      </c>
      <c r="AE10" s="77" t="s">
        <v>385</v>
      </c>
      <c r="AF10" s="77" t="s">
        <v>385</v>
      </c>
      <c r="AG10" s="77" t="s">
        <v>384</v>
      </c>
      <c r="AH10" s="77" t="s">
        <v>384</v>
      </c>
      <c r="AI10" s="77" t="s">
        <v>384</v>
      </c>
      <c r="AJ10" s="77"/>
      <c r="AK10" s="77"/>
      <c r="AL10" s="77"/>
      <c r="AM10" s="77"/>
      <c r="AN10" s="77"/>
      <c r="AO10" s="77"/>
      <c r="AP10" s="77"/>
      <c r="AQ10" s="77"/>
      <c r="AR10" s="77"/>
      <c r="AS10" s="77"/>
      <c r="AT10" s="77"/>
      <c r="AU10" s="77" t="s">
        <v>384</v>
      </c>
      <c r="AV10" s="77"/>
      <c r="AW10" s="77" t="s">
        <v>384</v>
      </c>
      <c r="AX10" s="77"/>
      <c r="AY10" s="77" t="s">
        <v>384</v>
      </c>
      <c r="AZ10" s="77" t="s">
        <v>384</v>
      </c>
      <c r="BA10" s="77" t="s">
        <v>384</v>
      </c>
      <c r="BB10" s="77" t="s">
        <v>384</v>
      </c>
      <c r="BC10" s="77" t="s">
        <v>384</v>
      </c>
      <c r="BD10" s="77" t="s">
        <v>384</v>
      </c>
      <c r="BE10" s="77"/>
      <c r="BF10" s="77"/>
      <c r="BG10" s="77"/>
      <c r="BH10" s="77"/>
      <c r="BI10" s="56"/>
      <c r="BJ10" s="56"/>
      <c r="BK10" s="56"/>
      <c r="BL10" s="77"/>
      <c r="BM10" s="56"/>
      <c r="BN10" s="56"/>
      <c r="BO10" s="56"/>
      <c r="BP10" s="56"/>
      <c r="BQ10" s="77" t="s">
        <v>384</v>
      </c>
      <c r="BR10" s="77" t="s">
        <v>384</v>
      </c>
      <c r="BS10" s="77" t="s">
        <v>384</v>
      </c>
      <c r="BT10" s="77" t="s">
        <v>384</v>
      </c>
      <c r="BU10" s="77" t="s">
        <v>384</v>
      </c>
      <c r="BV10" s="77" t="s">
        <v>384</v>
      </c>
      <c r="BW10" s="77" t="s">
        <v>384</v>
      </c>
      <c r="BX10" s="77" t="s">
        <v>384</v>
      </c>
      <c r="BY10" s="77"/>
      <c r="BZ10" s="77"/>
      <c r="CA10" s="77" t="s">
        <v>384</v>
      </c>
      <c r="CB10" s="77" t="s">
        <v>384</v>
      </c>
      <c r="CC10" s="77" t="s">
        <v>384</v>
      </c>
      <c r="CD10" s="77" t="s">
        <v>384</v>
      </c>
      <c r="CE10" s="77" t="s">
        <v>384</v>
      </c>
      <c r="CF10" s="56"/>
      <c r="CG10" s="56"/>
      <c r="CH10" s="77"/>
      <c r="CI10" s="77"/>
      <c r="CJ10" s="77"/>
      <c r="CK10" s="77"/>
      <c r="CL10" s="77"/>
      <c r="CM10" s="77"/>
      <c r="CN10" s="77"/>
      <c r="CO10" s="77"/>
      <c r="CP10" s="77"/>
      <c r="CQ10" s="77"/>
      <c r="CR10" s="77"/>
      <c r="CS10" s="77"/>
      <c r="CT10" s="77"/>
      <c r="CU10" s="77"/>
      <c r="CV10" s="56"/>
      <c r="CW10" s="77"/>
      <c r="CX10" s="77"/>
      <c r="CY10" s="77"/>
      <c r="CZ10" s="77"/>
      <c r="DA10" s="77"/>
      <c r="DB10" s="77"/>
      <c r="DC10" s="56"/>
      <c r="DD10" s="56"/>
      <c r="DE10" s="56"/>
      <c r="DF10" s="56"/>
      <c r="DG10" s="56"/>
      <c r="DH10" s="62"/>
      <c r="DI10" s="62"/>
      <c r="DJ10" s="62"/>
      <c r="DM10" s="62"/>
      <c r="DN10" s="62"/>
      <c r="DO10" s="62"/>
      <c r="DP10" s="62"/>
      <c r="DQ10" s="62"/>
      <c r="DR10" s="62"/>
      <c r="DS10" s="62"/>
      <c r="DT10" s="62"/>
      <c r="DU10" s="62"/>
      <c r="DX10" s="62"/>
      <c r="DY10" s="62"/>
      <c r="DZ10" s="62"/>
      <c r="EA10" s="62"/>
      <c r="EB10" s="62"/>
      <c r="EC10" s="62"/>
    </row>
    <row r="11" spans="1:140" ht="58">
      <c r="A11" s="23">
        <v>9</v>
      </c>
      <c r="B11" s="24" t="s">
        <v>199</v>
      </c>
      <c r="C11" s="77"/>
      <c r="D11" s="77" t="s">
        <v>384</v>
      </c>
      <c r="E11" s="77"/>
      <c r="F11" s="77"/>
      <c r="G11" s="77" t="s">
        <v>384</v>
      </c>
      <c r="H11" s="77" t="s">
        <v>384</v>
      </c>
      <c r="I11" s="77"/>
      <c r="J11" s="77"/>
      <c r="K11" s="77"/>
      <c r="L11" s="77"/>
      <c r="M11" s="77"/>
      <c r="N11" s="77"/>
      <c r="O11" s="77"/>
      <c r="P11" s="77" t="s">
        <v>384</v>
      </c>
      <c r="Q11" s="77"/>
      <c r="R11" s="77" t="s">
        <v>384</v>
      </c>
      <c r="S11" s="77"/>
      <c r="T11" s="77"/>
      <c r="U11" s="77"/>
      <c r="V11" s="77"/>
      <c r="W11" s="77"/>
      <c r="X11" s="77"/>
      <c r="Y11" s="77"/>
      <c r="Z11" s="77" t="s">
        <v>384</v>
      </c>
      <c r="AA11" s="77" t="s">
        <v>384</v>
      </c>
      <c r="AB11" s="77" t="s">
        <v>384</v>
      </c>
      <c r="AC11" s="77" t="s">
        <v>384</v>
      </c>
      <c r="AD11" s="77" t="s">
        <v>384</v>
      </c>
      <c r="AE11" s="77" t="s">
        <v>384</v>
      </c>
      <c r="AF11" s="77" t="s">
        <v>384</v>
      </c>
      <c r="AG11" s="77" t="s">
        <v>384</v>
      </c>
      <c r="AH11" s="77" t="s">
        <v>384</v>
      </c>
      <c r="AI11" s="77" t="s">
        <v>384</v>
      </c>
      <c r="AJ11" s="77"/>
      <c r="AK11" s="77"/>
      <c r="AL11" s="77"/>
      <c r="AM11" s="77"/>
      <c r="AN11" s="77"/>
      <c r="AO11" s="77"/>
      <c r="AP11" s="77"/>
      <c r="AQ11" s="77"/>
      <c r="AR11" s="77"/>
      <c r="AS11" s="77"/>
      <c r="AT11" s="77"/>
      <c r="AU11" s="77" t="s">
        <v>384</v>
      </c>
      <c r="AV11" s="77"/>
      <c r="AW11" s="77" t="s">
        <v>384</v>
      </c>
      <c r="AX11" s="77"/>
      <c r="AY11" s="77" t="s">
        <v>384</v>
      </c>
      <c r="AZ11" s="77" t="s">
        <v>384</v>
      </c>
      <c r="BA11" s="77" t="s">
        <v>384</v>
      </c>
      <c r="BB11" s="77" t="s">
        <v>384</v>
      </c>
      <c r="BC11" s="77" t="s">
        <v>384</v>
      </c>
      <c r="BD11" s="77" t="s">
        <v>384</v>
      </c>
      <c r="BE11" s="77"/>
      <c r="BF11" s="77"/>
      <c r="BG11" s="77"/>
      <c r="BH11" s="77"/>
      <c r="BI11" s="56"/>
      <c r="BJ11" s="56"/>
      <c r="BK11" s="56"/>
      <c r="BL11" s="77"/>
      <c r="BM11" s="56"/>
      <c r="BN11" s="56"/>
      <c r="BO11" s="56"/>
      <c r="BP11" s="56"/>
      <c r="BQ11" s="77" t="s">
        <v>384</v>
      </c>
      <c r="BR11" s="77" t="s">
        <v>384</v>
      </c>
      <c r="BS11" s="77" t="s">
        <v>384</v>
      </c>
      <c r="BT11" s="77" t="s">
        <v>384</v>
      </c>
      <c r="BU11" s="77" t="s">
        <v>384</v>
      </c>
      <c r="BV11" s="77" t="s">
        <v>384</v>
      </c>
      <c r="BW11" s="77" t="s">
        <v>384</v>
      </c>
      <c r="BX11" s="77" t="s">
        <v>384</v>
      </c>
      <c r="BY11" s="77"/>
      <c r="BZ11" s="77"/>
      <c r="CA11" s="77" t="s">
        <v>384</v>
      </c>
      <c r="CB11" s="77" t="s">
        <v>384</v>
      </c>
      <c r="CC11" s="77" t="s">
        <v>384</v>
      </c>
      <c r="CD11" s="77" t="s">
        <v>384</v>
      </c>
      <c r="CE11" s="77" t="s">
        <v>384</v>
      </c>
      <c r="CF11" s="56"/>
      <c r="CG11" s="56"/>
      <c r="CH11" s="77"/>
      <c r="CI11" s="77"/>
      <c r="CJ11" s="77"/>
      <c r="CK11" s="77"/>
      <c r="CL11" s="77"/>
      <c r="CM11" s="77"/>
      <c r="CN11" s="77"/>
      <c r="CO11" s="77"/>
      <c r="CP11" s="77"/>
      <c r="CQ11" s="77"/>
      <c r="CR11" s="77"/>
      <c r="CS11" s="77"/>
      <c r="CT11" s="77"/>
      <c r="CU11" s="77"/>
      <c r="CV11" s="56"/>
      <c r="CW11" s="77"/>
      <c r="CX11" s="77"/>
      <c r="CY11" s="77"/>
      <c r="CZ11" s="77"/>
      <c r="DA11" s="77"/>
      <c r="DB11" s="77"/>
      <c r="DC11" s="56"/>
      <c r="DD11" s="56"/>
      <c r="DE11" s="56"/>
      <c r="DF11" s="56"/>
      <c r="DG11" s="56"/>
      <c r="DH11" s="62"/>
      <c r="DI11" s="62"/>
      <c r="DJ11" s="62"/>
      <c r="DM11" s="62"/>
      <c r="DN11" s="62"/>
      <c r="DO11" s="62"/>
      <c r="DP11" s="62"/>
      <c r="DQ11" s="62"/>
      <c r="DR11" s="62"/>
      <c r="DS11" s="62"/>
      <c r="DT11" s="62"/>
      <c r="DU11" s="62"/>
      <c r="DX11" s="62"/>
      <c r="DY11" s="62"/>
      <c r="DZ11" s="62"/>
      <c r="EA11" s="62"/>
      <c r="EB11" s="62"/>
      <c r="EC11" s="62"/>
    </row>
    <row r="12" spans="1:140" ht="58">
      <c r="A12" s="23">
        <v>10</v>
      </c>
      <c r="B12" s="24" t="s">
        <v>200</v>
      </c>
      <c r="C12" s="77"/>
      <c r="D12" s="77" t="s">
        <v>384</v>
      </c>
      <c r="E12" s="77"/>
      <c r="F12" s="77"/>
      <c r="G12" s="77" t="s">
        <v>384</v>
      </c>
      <c r="H12" s="77" t="s">
        <v>384</v>
      </c>
      <c r="I12" s="77"/>
      <c r="J12" s="77"/>
      <c r="K12" s="77"/>
      <c r="L12" s="77"/>
      <c r="M12" s="77"/>
      <c r="N12" s="77"/>
      <c r="O12" s="77"/>
      <c r="P12" s="77" t="s">
        <v>384</v>
      </c>
      <c r="Q12" s="77"/>
      <c r="R12" s="77" t="s">
        <v>384</v>
      </c>
      <c r="S12" s="77"/>
      <c r="T12" s="77"/>
      <c r="U12" s="77"/>
      <c r="V12" s="77"/>
      <c r="W12" s="77"/>
      <c r="X12" s="77"/>
      <c r="Y12" s="77"/>
      <c r="Z12" s="77" t="s">
        <v>384</v>
      </c>
      <c r="AA12" s="77" t="s">
        <v>384</v>
      </c>
      <c r="AB12" s="77" t="s">
        <v>384</v>
      </c>
      <c r="AC12" s="77" t="s">
        <v>384</v>
      </c>
      <c r="AD12" s="77" t="s">
        <v>384</v>
      </c>
      <c r="AE12" s="77" t="s">
        <v>384</v>
      </c>
      <c r="AF12" s="77" t="s">
        <v>384</v>
      </c>
      <c r="AG12" s="77" t="s">
        <v>384</v>
      </c>
      <c r="AH12" s="77" t="s">
        <v>384</v>
      </c>
      <c r="AI12" s="77" t="s">
        <v>384</v>
      </c>
      <c r="AJ12" s="77"/>
      <c r="AK12" s="77"/>
      <c r="AL12" s="77"/>
      <c r="AM12" s="77"/>
      <c r="AN12" s="77"/>
      <c r="AO12" s="77"/>
      <c r="AP12" s="77"/>
      <c r="AQ12" s="77"/>
      <c r="AR12" s="77"/>
      <c r="AS12" s="77"/>
      <c r="AT12" s="77"/>
      <c r="AU12" s="77" t="s">
        <v>384</v>
      </c>
      <c r="AV12" s="77"/>
      <c r="AW12" s="77" t="s">
        <v>384</v>
      </c>
      <c r="AX12" s="77"/>
      <c r="AY12" s="77" t="s">
        <v>384</v>
      </c>
      <c r="AZ12" s="77" t="s">
        <v>384</v>
      </c>
      <c r="BA12" s="77" t="s">
        <v>384</v>
      </c>
      <c r="BB12" s="77" t="s">
        <v>384</v>
      </c>
      <c r="BC12" s="77" t="s">
        <v>384</v>
      </c>
      <c r="BD12" s="77" t="s">
        <v>384</v>
      </c>
      <c r="BE12" s="77"/>
      <c r="BF12" s="77"/>
      <c r="BG12" s="77"/>
      <c r="BH12" s="77"/>
      <c r="BI12" s="56"/>
      <c r="BJ12" s="56"/>
      <c r="BK12" s="56"/>
      <c r="BL12" s="77"/>
      <c r="BM12" s="56"/>
      <c r="BN12" s="56"/>
      <c r="BO12" s="56"/>
      <c r="BP12" s="56"/>
      <c r="BQ12" s="77" t="s">
        <v>384</v>
      </c>
      <c r="BR12" s="77" t="s">
        <v>384</v>
      </c>
      <c r="BS12" s="77" t="s">
        <v>384</v>
      </c>
      <c r="BT12" s="77" t="s">
        <v>384</v>
      </c>
      <c r="BU12" s="77" t="s">
        <v>384</v>
      </c>
      <c r="BV12" s="77" t="s">
        <v>384</v>
      </c>
      <c r="BW12" s="77" t="s">
        <v>384</v>
      </c>
      <c r="BX12" s="77" t="s">
        <v>384</v>
      </c>
      <c r="BY12" s="77"/>
      <c r="BZ12" s="77"/>
      <c r="CA12" s="77" t="s">
        <v>384</v>
      </c>
      <c r="CB12" s="77" t="s">
        <v>384</v>
      </c>
      <c r="CC12" s="77" t="s">
        <v>384</v>
      </c>
      <c r="CD12" s="77" t="s">
        <v>384</v>
      </c>
      <c r="CE12" s="77" t="s">
        <v>384</v>
      </c>
      <c r="CF12" s="56"/>
      <c r="CG12" s="56"/>
      <c r="CH12" s="77"/>
      <c r="CI12" s="77"/>
      <c r="CJ12" s="77"/>
      <c r="CK12" s="77"/>
      <c r="CL12" s="77"/>
      <c r="CM12" s="77"/>
      <c r="CN12" s="77"/>
      <c r="CO12" s="77"/>
      <c r="CP12" s="77"/>
      <c r="CQ12" s="77"/>
      <c r="CR12" s="77"/>
      <c r="CS12" s="77"/>
      <c r="CT12" s="77"/>
      <c r="CU12" s="77"/>
      <c r="CV12" s="56"/>
      <c r="CW12" s="77"/>
      <c r="CX12" s="77"/>
      <c r="CY12" s="77"/>
      <c r="CZ12" s="77"/>
      <c r="DA12" s="77"/>
      <c r="DB12" s="77"/>
      <c r="DC12" s="56"/>
      <c r="DD12" s="56"/>
      <c r="DE12" s="56"/>
      <c r="DF12" s="56"/>
      <c r="DG12" s="56"/>
      <c r="DH12" s="62"/>
      <c r="DI12" s="62"/>
      <c r="DJ12" s="62"/>
      <c r="DM12" s="62"/>
      <c r="DN12" s="62"/>
      <c r="DO12" s="62"/>
      <c r="DP12" s="62"/>
      <c r="DQ12" s="62"/>
      <c r="DR12" s="62"/>
      <c r="DS12" s="62"/>
      <c r="DT12" s="62"/>
      <c r="DU12" s="62"/>
      <c r="DX12" s="62"/>
      <c r="DY12" s="62"/>
      <c r="DZ12" s="62"/>
      <c r="EA12" s="62"/>
      <c r="EB12" s="62"/>
      <c r="EC12" s="62"/>
    </row>
    <row r="13" spans="1:140" s="19" customFormat="1">
      <c r="A13" s="25">
        <v>11</v>
      </c>
      <c r="B13" s="22" t="s">
        <v>201</v>
      </c>
      <c r="C13" s="79"/>
      <c r="D13" s="79" t="s">
        <v>386</v>
      </c>
      <c r="E13" s="79"/>
      <c r="F13" s="79"/>
      <c r="G13" s="80" t="s">
        <v>387</v>
      </c>
      <c r="H13" s="79" t="s">
        <v>388</v>
      </c>
      <c r="I13" s="79"/>
      <c r="J13" s="79"/>
      <c r="K13" s="79"/>
      <c r="L13" s="79"/>
      <c r="M13" s="79"/>
      <c r="N13" s="79"/>
      <c r="O13" s="79"/>
      <c r="P13" s="79" t="s">
        <v>386</v>
      </c>
      <c r="Q13" s="79"/>
      <c r="R13" s="79" t="s">
        <v>386</v>
      </c>
      <c r="S13" s="79"/>
      <c r="T13" s="79"/>
      <c r="U13" s="79"/>
      <c r="V13" s="79"/>
      <c r="W13" s="79"/>
      <c r="X13" s="79"/>
      <c r="Y13" s="79"/>
      <c r="Z13" s="79" t="s">
        <v>386</v>
      </c>
      <c r="AA13" s="79" t="s">
        <v>386</v>
      </c>
      <c r="AB13" s="79" t="s">
        <v>386</v>
      </c>
      <c r="AC13" s="79" t="s">
        <v>386</v>
      </c>
      <c r="AD13" s="79" t="s">
        <v>386</v>
      </c>
      <c r="AE13" s="79" t="s">
        <v>388</v>
      </c>
      <c r="AF13" s="79" t="s">
        <v>388</v>
      </c>
      <c r="AG13" s="79" t="s">
        <v>386</v>
      </c>
      <c r="AH13" s="79" t="s">
        <v>386</v>
      </c>
      <c r="AI13" s="79" t="s">
        <v>386</v>
      </c>
      <c r="AJ13" s="79"/>
      <c r="AK13" s="79"/>
      <c r="AL13" s="79"/>
      <c r="AM13" s="79"/>
      <c r="AN13" s="79"/>
      <c r="AO13" s="79"/>
      <c r="AP13" s="79"/>
      <c r="AQ13" s="79"/>
      <c r="AR13" s="79"/>
      <c r="AS13" s="79"/>
      <c r="AT13" s="79"/>
      <c r="AU13" s="79" t="s">
        <v>386</v>
      </c>
      <c r="AV13" s="79"/>
      <c r="AW13" s="79" t="s">
        <v>388</v>
      </c>
      <c r="AX13" s="96"/>
      <c r="AY13" s="79" t="s">
        <v>388</v>
      </c>
      <c r="AZ13" s="79" t="s">
        <v>386</v>
      </c>
      <c r="BA13" s="79" t="s">
        <v>386</v>
      </c>
      <c r="BB13" s="79" t="s">
        <v>386</v>
      </c>
      <c r="BC13" s="79" t="s">
        <v>386</v>
      </c>
      <c r="BD13" s="79" t="s">
        <v>386</v>
      </c>
      <c r="BE13" s="79"/>
      <c r="BF13" s="79"/>
      <c r="BG13" s="79"/>
      <c r="BH13" s="79"/>
      <c r="BI13" s="79"/>
      <c r="BJ13" s="79"/>
      <c r="BK13" s="79"/>
      <c r="BL13" s="79"/>
      <c r="BM13" s="79"/>
      <c r="BN13" s="79"/>
      <c r="BO13" s="79"/>
      <c r="BP13" s="79"/>
      <c r="BQ13" s="79" t="s">
        <v>386</v>
      </c>
      <c r="BR13" s="79" t="s">
        <v>386</v>
      </c>
      <c r="BS13" s="79" t="s">
        <v>386</v>
      </c>
      <c r="BT13" s="79" t="s">
        <v>386</v>
      </c>
      <c r="BU13" s="79" t="s">
        <v>386</v>
      </c>
      <c r="BV13" s="79" t="s">
        <v>388</v>
      </c>
      <c r="BW13" s="79" t="s">
        <v>388</v>
      </c>
      <c r="BX13" s="79" t="s">
        <v>386</v>
      </c>
      <c r="BY13" s="79"/>
      <c r="BZ13" s="79"/>
      <c r="CA13" s="79" t="s">
        <v>386</v>
      </c>
      <c r="CB13" s="79" t="s">
        <v>388</v>
      </c>
      <c r="CC13" s="79" t="s">
        <v>386</v>
      </c>
      <c r="CD13" s="79" t="s">
        <v>386</v>
      </c>
      <c r="CE13" s="79" t="s">
        <v>386</v>
      </c>
      <c r="CF13" s="81"/>
      <c r="CG13" s="81"/>
      <c r="CH13" s="79"/>
      <c r="CI13" s="79"/>
      <c r="CJ13" s="79"/>
      <c r="CK13" s="96"/>
      <c r="CL13" s="79"/>
      <c r="CM13" s="96"/>
      <c r="CN13" s="79"/>
      <c r="CO13" s="79"/>
      <c r="CP13" s="96"/>
      <c r="CQ13" s="79"/>
      <c r="CR13" s="79"/>
      <c r="CS13" s="79"/>
      <c r="CT13" s="79"/>
      <c r="CU13" s="79"/>
      <c r="CV13" s="81"/>
      <c r="CW13" s="79"/>
      <c r="CX13" s="79"/>
      <c r="CY13" s="79"/>
      <c r="CZ13" s="79"/>
      <c r="DA13" s="79"/>
      <c r="DB13" s="79"/>
      <c r="DC13" s="81"/>
      <c r="DD13" s="81"/>
      <c r="DE13" s="81"/>
      <c r="DF13" s="81"/>
      <c r="DG13" s="81"/>
      <c r="DH13" s="63"/>
      <c r="DI13" s="63"/>
      <c r="DJ13" s="63"/>
      <c r="DM13" s="63"/>
      <c r="DN13" s="63"/>
      <c r="DO13" s="63"/>
      <c r="DP13" s="63"/>
      <c r="DQ13" s="63"/>
      <c r="DR13" s="63"/>
      <c r="DS13" s="63"/>
      <c r="DT13" s="63"/>
      <c r="DU13" s="63"/>
      <c r="DX13" s="63"/>
      <c r="DY13" s="63"/>
      <c r="DZ13" s="63"/>
      <c r="EA13" s="63"/>
      <c r="EB13" s="63"/>
      <c r="EC13" s="63"/>
    </row>
    <row r="14" spans="1:140" ht="222" customHeight="1">
      <c r="A14" s="23">
        <v>12</v>
      </c>
      <c r="B14" s="26" t="s">
        <v>202</v>
      </c>
      <c r="C14" s="131"/>
      <c r="D14" s="131"/>
      <c r="E14" s="131"/>
      <c r="F14" s="131"/>
      <c r="G14" s="131" t="s">
        <v>389</v>
      </c>
      <c r="H14" s="131" t="s">
        <v>390</v>
      </c>
      <c r="I14" s="131"/>
      <c r="J14" s="131"/>
      <c r="K14" s="131"/>
      <c r="L14" s="131"/>
      <c r="M14" s="131"/>
      <c r="N14" s="131"/>
      <c r="O14" s="131"/>
      <c r="P14" s="131"/>
      <c r="Q14" s="131"/>
      <c r="R14" s="131"/>
      <c r="S14" s="131"/>
      <c r="T14" s="131"/>
      <c r="U14" s="131"/>
      <c r="V14" s="131"/>
      <c r="W14" s="132"/>
      <c r="X14" s="131"/>
      <c r="Y14" s="131" t="s">
        <v>391</v>
      </c>
      <c r="Z14" s="131" t="s">
        <v>392</v>
      </c>
      <c r="AA14" s="131" t="s">
        <v>393</v>
      </c>
      <c r="AB14" s="131" t="s">
        <v>394</v>
      </c>
      <c r="AC14" s="131" t="s">
        <v>392</v>
      </c>
      <c r="AD14" s="131" t="s">
        <v>392</v>
      </c>
      <c r="AE14" s="131" t="s">
        <v>395</v>
      </c>
      <c r="AF14" s="82" t="s">
        <v>396</v>
      </c>
      <c r="AG14" s="131" t="s">
        <v>392</v>
      </c>
      <c r="AH14" s="131" t="s">
        <v>392</v>
      </c>
      <c r="AI14" s="131" t="s">
        <v>392</v>
      </c>
      <c r="AJ14" s="132"/>
      <c r="AK14" s="132"/>
      <c r="AL14" s="132"/>
      <c r="AM14" s="132"/>
      <c r="AN14" s="131"/>
      <c r="AO14" s="131"/>
      <c r="AP14" s="131"/>
      <c r="AQ14" s="131"/>
      <c r="AR14" s="132"/>
      <c r="AS14" s="131"/>
      <c r="AT14" s="131"/>
      <c r="AU14" s="131" t="s">
        <v>392</v>
      </c>
      <c r="AV14" s="131"/>
      <c r="AW14" s="131" t="s">
        <v>398</v>
      </c>
      <c r="AX14" s="131"/>
      <c r="AY14" s="82" t="s">
        <v>398</v>
      </c>
      <c r="AZ14" s="131" t="s">
        <v>392</v>
      </c>
      <c r="BA14" s="131" t="s">
        <v>392</v>
      </c>
      <c r="BB14" s="131"/>
      <c r="BC14" s="131"/>
      <c r="BD14" s="131"/>
      <c r="BE14" s="131"/>
      <c r="BF14" s="131"/>
      <c r="BG14" s="131"/>
      <c r="BH14" s="131"/>
      <c r="BI14" s="131"/>
      <c r="BJ14" s="131"/>
      <c r="BK14" s="132"/>
      <c r="BL14" s="132"/>
      <c r="BM14" s="132"/>
      <c r="BN14" s="132"/>
      <c r="BO14" s="132"/>
      <c r="BP14" s="132"/>
      <c r="BQ14" s="131" t="s">
        <v>392</v>
      </c>
      <c r="BR14" s="131" t="s">
        <v>392</v>
      </c>
      <c r="BS14" s="131" t="s">
        <v>392</v>
      </c>
      <c r="BT14" s="131" t="s">
        <v>392</v>
      </c>
      <c r="BU14" s="131" t="s">
        <v>392</v>
      </c>
      <c r="BV14" s="131" t="s">
        <v>398</v>
      </c>
      <c r="BW14" s="131" t="s">
        <v>400</v>
      </c>
      <c r="BX14" s="131" t="s">
        <v>392</v>
      </c>
      <c r="BY14" s="131"/>
      <c r="BZ14" s="131"/>
      <c r="CA14" s="131" t="s">
        <v>392</v>
      </c>
      <c r="CB14" s="131" t="s">
        <v>400</v>
      </c>
      <c r="CC14" s="131"/>
      <c r="CD14" s="131"/>
      <c r="CE14" s="131" t="s">
        <v>392</v>
      </c>
      <c r="CF14" s="131"/>
      <c r="CG14" s="131"/>
      <c r="CH14" s="131"/>
      <c r="CI14" s="131"/>
      <c r="CJ14" s="82"/>
      <c r="CK14" s="82"/>
      <c r="CL14" s="82"/>
      <c r="CM14" s="82"/>
      <c r="CN14" s="82"/>
      <c r="CO14" s="82"/>
      <c r="CP14" s="82"/>
      <c r="CQ14" s="82"/>
      <c r="CR14" s="82"/>
      <c r="CS14" s="82"/>
      <c r="CT14" s="85"/>
      <c r="CU14" s="85"/>
      <c r="CV14" s="85"/>
      <c r="CW14" s="85"/>
      <c r="CX14" s="85"/>
      <c r="CY14" s="82"/>
      <c r="CZ14" s="82"/>
      <c r="DA14" s="85"/>
      <c r="DB14" s="82"/>
      <c r="DC14" s="85"/>
      <c r="DD14" s="85"/>
      <c r="DE14" s="85"/>
      <c r="DF14" s="85"/>
      <c r="DG14" s="85"/>
      <c r="DH14" s="93"/>
      <c r="DI14" s="94"/>
      <c r="DJ14" s="94"/>
      <c r="DK14" s="94"/>
      <c r="DL14" s="94"/>
      <c r="DM14" s="97"/>
      <c r="DN14" s="93"/>
      <c r="DO14" s="93"/>
      <c r="DP14" s="93"/>
      <c r="DQ14" s="93"/>
      <c r="DR14" s="94"/>
      <c r="DS14" s="94"/>
      <c r="DT14" s="94"/>
      <c r="DU14" s="97"/>
      <c r="DV14" s="94"/>
      <c r="DW14" s="94"/>
      <c r="DX14" s="97"/>
      <c r="DY14" s="97"/>
      <c r="DZ14" s="97"/>
      <c r="EA14" s="97"/>
      <c r="EB14" s="97"/>
      <c r="EC14" s="97"/>
    </row>
    <row r="15" spans="1:140" ht="87">
      <c r="C15" s="131"/>
      <c r="D15" s="131"/>
      <c r="E15" s="131"/>
      <c r="F15" s="131"/>
      <c r="G15" s="131"/>
      <c r="H15" s="131"/>
      <c r="I15" s="131"/>
      <c r="J15" s="131"/>
      <c r="K15" s="131"/>
      <c r="L15" s="131"/>
      <c r="M15" s="131"/>
      <c r="N15" s="131"/>
      <c r="O15" s="131"/>
      <c r="P15" s="131"/>
      <c r="Q15" s="131"/>
      <c r="R15" s="131"/>
      <c r="S15" s="131"/>
      <c r="T15" s="131"/>
      <c r="U15" s="131"/>
      <c r="V15" s="131"/>
      <c r="W15" s="132"/>
      <c r="X15" s="131"/>
      <c r="Y15" s="131"/>
      <c r="Z15" s="131"/>
      <c r="AA15" s="131"/>
      <c r="AB15" s="131"/>
      <c r="AC15" s="131"/>
      <c r="AD15" s="131"/>
      <c r="AE15" s="131"/>
      <c r="AF15" s="82" t="s">
        <v>397</v>
      </c>
      <c r="AG15" s="131"/>
      <c r="AH15" s="131"/>
      <c r="AI15" s="131"/>
      <c r="AJ15" s="132"/>
      <c r="AK15" s="132"/>
      <c r="AL15" s="132"/>
      <c r="AM15" s="132"/>
      <c r="AN15" s="131"/>
      <c r="AO15" s="131"/>
      <c r="AP15" s="131"/>
      <c r="AQ15" s="131"/>
      <c r="AR15" s="132"/>
      <c r="AS15" s="131"/>
      <c r="AT15" s="131"/>
      <c r="AU15" s="131"/>
      <c r="AV15" s="131"/>
      <c r="AW15" s="131"/>
      <c r="AX15" s="131"/>
      <c r="AY15" s="82" t="s">
        <v>399</v>
      </c>
      <c r="AZ15" s="131"/>
      <c r="BA15" s="131"/>
      <c r="BB15" s="131"/>
      <c r="BC15" s="131"/>
      <c r="BD15" s="131"/>
      <c r="BE15" s="131"/>
      <c r="BF15" s="131"/>
      <c r="BG15" s="131"/>
      <c r="BH15" s="131"/>
      <c r="BI15" s="131"/>
      <c r="BJ15" s="131"/>
      <c r="BK15" s="132"/>
      <c r="BL15" s="132"/>
      <c r="BM15" s="132"/>
      <c r="BN15" s="132"/>
      <c r="BO15" s="132"/>
      <c r="BP15" s="132"/>
      <c r="BQ15" s="131"/>
      <c r="BR15" s="131"/>
      <c r="BS15" s="131"/>
      <c r="BT15" s="131"/>
      <c r="BU15" s="131"/>
      <c r="BV15" s="131"/>
      <c r="BW15" s="131"/>
      <c r="BX15" s="131"/>
      <c r="BY15" s="131"/>
      <c r="BZ15" s="131"/>
      <c r="CA15" s="131"/>
      <c r="CB15" s="131"/>
      <c r="CC15" s="131"/>
      <c r="CD15" s="131"/>
      <c r="CE15" s="131"/>
      <c r="CF15" s="131"/>
      <c r="CG15" s="131"/>
      <c r="CH15" s="131"/>
      <c r="CI15" s="131"/>
      <c r="CJ15" s="82"/>
      <c r="CK15" s="82"/>
      <c r="CL15" s="82"/>
      <c r="CM15" s="82"/>
      <c r="CN15" s="82"/>
      <c r="CO15" s="82"/>
      <c r="CP15" s="82"/>
      <c r="CQ15" s="82"/>
      <c r="CR15" s="82"/>
      <c r="CS15" s="82"/>
      <c r="CT15" s="85"/>
      <c r="CU15" s="85"/>
      <c r="CV15" s="85"/>
      <c r="CW15" s="85"/>
      <c r="CX15" s="85"/>
      <c r="CY15" s="82"/>
      <c r="CZ15" s="82"/>
      <c r="DA15" s="85"/>
      <c r="DB15" s="82"/>
      <c r="DC15" s="85"/>
      <c r="DD15" s="85"/>
      <c r="DE15" s="85"/>
      <c r="DF15" s="85"/>
      <c r="DG15" s="85"/>
      <c r="DH15" s="85"/>
      <c r="DI15" s="85"/>
      <c r="DJ15" s="85"/>
      <c r="DK15" s="85"/>
      <c r="DL15" s="85"/>
      <c r="DM15" s="85"/>
      <c r="DN15" s="85"/>
      <c r="DO15" s="85"/>
      <c r="DP15" s="85"/>
      <c r="DQ15" s="85"/>
      <c r="DR15" s="85"/>
    </row>
    <row r="16" spans="1:140">
      <c r="C16" s="82"/>
      <c r="D16" s="82"/>
      <c r="E16" s="82"/>
      <c r="F16" s="82"/>
      <c r="G16" s="82"/>
      <c r="H16" s="82"/>
      <c r="I16" s="82"/>
      <c r="J16" s="82"/>
      <c r="K16" s="82"/>
      <c r="L16" s="82"/>
      <c r="M16" s="82"/>
      <c r="N16" s="82"/>
      <c r="O16" s="82"/>
      <c r="P16" s="82"/>
      <c r="Q16" s="82"/>
      <c r="R16" s="82"/>
      <c r="S16" s="82"/>
      <c r="T16" s="82"/>
      <c r="U16" s="82"/>
      <c r="V16" s="82"/>
      <c r="W16" s="85"/>
      <c r="X16" s="82"/>
      <c r="Y16" s="82"/>
      <c r="Z16" s="82"/>
      <c r="AA16" s="82"/>
      <c r="AB16" s="82"/>
      <c r="AC16" s="82"/>
      <c r="AD16" s="82"/>
      <c r="AE16" s="82"/>
      <c r="AF16" s="82"/>
      <c r="AG16" s="82"/>
      <c r="AH16" s="82"/>
      <c r="AI16" s="85"/>
      <c r="AJ16" s="85"/>
      <c r="AK16" s="85"/>
      <c r="AL16" s="85"/>
      <c r="AM16" s="85"/>
      <c r="AN16" s="82"/>
      <c r="AO16" s="82"/>
      <c r="AP16" s="82"/>
      <c r="AQ16" s="82"/>
      <c r="AR16" s="85"/>
      <c r="AS16" s="82"/>
      <c r="AT16" s="82"/>
      <c r="AU16" s="82"/>
      <c r="AV16" s="82"/>
      <c r="AW16" s="82"/>
      <c r="AX16" s="82"/>
      <c r="AY16" s="82"/>
      <c r="AZ16" s="82"/>
      <c r="BA16" s="82"/>
      <c r="BB16" s="82"/>
      <c r="BC16" s="82"/>
      <c r="BD16" s="82"/>
      <c r="BE16" s="82"/>
      <c r="BF16" s="82"/>
      <c r="BG16" s="82"/>
      <c r="BH16" s="82"/>
      <c r="BI16" s="82"/>
      <c r="BJ16" s="82"/>
      <c r="BK16" s="85"/>
      <c r="BL16" s="85"/>
      <c r="BM16" s="85"/>
      <c r="BN16" s="85"/>
      <c r="BO16" s="85"/>
      <c r="BP16" s="85"/>
      <c r="BQ16" s="85"/>
      <c r="BR16" s="85"/>
      <c r="BS16" s="85"/>
      <c r="BT16" s="82"/>
      <c r="BU16" s="82"/>
      <c r="BV16" s="82"/>
      <c r="BW16" s="82"/>
      <c r="BX16" s="82"/>
      <c r="BY16" s="82"/>
      <c r="BZ16" s="82"/>
      <c r="CA16" s="82"/>
      <c r="CB16" s="82"/>
      <c r="CC16" s="82"/>
      <c r="CD16" s="82"/>
      <c r="CE16" s="82"/>
      <c r="CF16" s="82"/>
      <c r="CG16" s="82"/>
      <c r="CH16" s="82"/>
      <c r="CI16" s="82"/>
    </row>
  </sheetData>
  <mergeCells count="83">
    <mergeCell ref="H14:H15"/>
    <mergeCell ref="C14:C15"/>
    <mergeCell ref="D14:D15"/>
    <mergeCell ref="E14:E15"/>
    <mergeCell ref="F14:F15"/>
    <mergeCell ref="G14:G15"/>
    <mergeCell ref="T14:T15"/>
    <mergeCell ref="I14:I15"/>
    <mergeCell ref="J14:J15"/>
    <mergeCell ref="K14:K15"/>
    <mergeCell ref="L14:L15"/>
    <mergeCell ref="M14:M15"/>
    <mergeCell ref="N14:N15"/>
    <mergeCell ref="O14:O15"/>
    <mergeCell ref="P14:P15"/>
    <mergeCell ref="Q14:Q15"/>
    <mergeCell ref="R14:R15"/>
    <mergeCell ref="S14:S15"/>
    <mergeCell ref="AG14:AG15"/>
    <mergeCell ref="U14:U15"/>
    <mergeCell ref="V14:V15"/>
    <mergeCell ref="W14:W15"/>
    <mergeCell ref="X14:X15"/>
    <mergeCell ref="Y14:Y15"/>
    <mergeCell ref="Z14:Z15"/>
    <mergeCell ref="AA14:AA15"/>
    <mergeCell ref="AB14:AB15"/>
    <mergeCell ref="AC14:AC15"/>
    <mergeCell ref="AD14:AD15"/>
    <mergeCell ref="AE14:AE15"/>
    <mergeCell ref="AS14:AS15"/>
    <mergeCell ref="AH14:AH15"/>
    <mergeCell ref="AI14:AI15"/>
    <mergeCell ref="AJ14:AJ15"/>
    <mergeCell ref="AK14:AK15"/>
    <mergeCell ref="AL14:AL15"/>
    <mergeCell ref="AM14:AM15"/>
    <mergeCell ref="AN14:AN15"/>
    <mergeCell ref="AO14:AO15"/>
    <mergeCell ref="AP14:AP15"/>
    <mergeCell ref="AQ14:AQ15"/>
    <mergeCell ref="AR14:AR15"/>
    <mergeCell ref="BF14:BF15"/>
    <mergeCell ref="AT14:AT15"/>
    <mergeCell ref="AU14:AU15"/>
    <mergeCell ref="AV14:AV15"/>
    <mergeCell ref="AW14:AW15"/>
    <mergeCell ref="AX14:AX15"/>
    <mergeCell ref="AZ14:AZ15"/>
    <mergeCell ref="BA14:BA15"/>
    <mergeCell ref="BB14:BB15"/>
    <mergeCell ref="BC14:BC15"/>
    <mergeCell ref="BD14:BD15"/>
    <mergeCell ref="BE14:BE15"/>
    <mergeCell ref="BR14:BR15"/>
    <mergeCell ref="BG14:BG15"/>
    <mergeCell ref="BH14:BH15"/>
    <mergeCell ref="BI14:BI15"/>
    <mergeCell ref="BJ14:BJ15"/>
    <mergeCell ref="BK14:BK15"/>
    <mergeCell ref="BL14:BL15"/>
    <mergeCell ref="BM14:BM15"/>
    <mergeCell ref="BN14:BN15"/>
    <mergeCell ref="BO14:BO15"/>
    <mergeCell ref="BP14:BP15"/>
    <mergeCell ref="BQ14:BQ15"/>
    <mergeCell ref="CD14:CD15"/>
    <mergeCell ref="BS14:BS15"/>
    <mergeCell ref="BT14:BT15"/>
    <mergeCell ref="BU14:BU15"/>
    <mergeCell ref="BV14:BV15"/>
    <mergeCell ref="BW14:BW15"/>
    <mergeCell ref="BX14:BX15"/>
    <mergeCell ref="BY14:BY15"/>
    <mergeCell ref="BZ14:BZ15"/>
    <mergeCell ref="CA14:CA15"/>
    <mergeCell ref="CB14:CB15"/>
    <mergeCell ref="CC14:CC15"/>
    <mergeCell ref="CE14:CE15"/>
    <mergeCell ref="CF14:CF15"/>
    <mergeCell ref="CG14:CG15"/>
    <mergeCell ref="CH14:CH15"/>
    <mergeCell ref="CI14:CI15"/>
  </mergeCells>
  <phoneticPr fontId="23" type="noConversion"/>
  <conditionalFormatting sqref="A13:B13 ED13:XFD13">
    <cfRule type="cellIs" dxfId="93" priority="130" operator="equal">
      <formula>"No"</formula>
    </cfRule>
    <cfRule type="cellIs" dxfId="92" priority="131" operator="equal">
      <formula>"Yes"</formula>
    </cfRule>
  </conditionalFormatting>
  <conditionalFormatting sqref="A13:B13">
    <cfRule type="cellIs" dxfId="91" priority="39" operator="equal">
      <formula>"Not Pass"</formula>
    </cfRule>
  </conditionalFormatting>
  <conditionalFormatting sqref="DH3:DH14">
    <cfRule type="cellIs" dxfId="90" priority="15" operator="equal">
      <formula>"No"</formula>
    </cfRule>
    <cfRule type="cellIs" dxfId="89" priority="16" operator="equal">
      <formula>"Yes"</formula>
    </cfRule>
  </conditionalFormatting>
  <conditionalFormatting sqref="DH3:DJ13">
    <cfRule type="cellIs" dxfId="88" priority="14" operator="equal">
      <formula>"O"</formula>
    </cfRule>
  </conditionalFormatting>
  <conditionalFormatting sqref="DH13:XFD13">
    <cfRule type="cellIs" dxfId="87" priority="4" operator="equal">
      <formula>"Not Pass"</formula>
    </cfRule>
  </conditionalFormatting>
  <conditionalFormatting sqref="DI3:DJ13">
    <cfRule type="cellIs" dxfId="86" priority="12" operator="equal">
      <formula>"No"</formula>
    </cfRule>
    <cfRule type="cellIs" dxfId="85" priority="13" operator="equal">
      <formula>"Yes"</formula>
    </cfRule>
  </conditionalFormatting>
  <conditionalFormatting sqref="DK13:DL13 DV13:DW13">
    <cfRule type="cellIs" dxfId="84" priority="17" operator="equal">
      <formula>"No"</formula>
    </cfRule>
    <cfRule type="cellIs" dxfId="83" priority="18" operator="equal">
      <formula>"Yes"</formula>
    </cfRule>
  </conditionalFormatting>
  <conditionalFormatting sqref="DM3:DM13">
    <cfRule type="cellIs" dxfId="82" priority="10" operator="equal">
      <formula>"No"</formula>
    </cfRule>
    <cfRule type="cellIs" dxfId="81" priority="11" operator="equal">
      <formula>"Yes"</formula>
    </cfRule>
  </conditionalFormatting>
  <conditionalFormatting sqref="DM3:DU13">
    <cfRule type="cellIs" dxfId="80" priority="7" operator="equal">
      <formula>"O"</formula>
    </cfRule>
  </conditionalFormatting>
  <conditionalFormatting sqref="DN3:DQ14">
    <cfRule type="cellIs" dxfId="79" priority="8" operator="equal">
      <formula>"No"</formula>
    </cfRule>
    <cfRule type="cellIs" dxfId="78" priority="9" operator="equal">
      <formula>"Yes"</formula>
    </cfRule>
  </conditionalFormatting>
  <conditionalFormatting sqref="DR3:DU13">
    <cfRule type="cellIs" dxfId="77" priority="5" operator="equal">
      <formula>"No"</formula>
    </cfRule>
    <cfRule type="cellIs" dxfId="76" priority="6" operator="equal">
      <formula>"Yes"</formula>
    </cfRule>
  </conditionalFormatting>
  <conditionalFormatting sqref="DX3:EC13">
    <cfRule type="cellIs" dxfId="75" priority="1" operator="equal">
      <formula>"No"</formula>
    </cfRule>
    <cfRule type="cellIs" dxfId="74" priority="2" operator="equal">
      <formula>"Yes"</formula>
    </cfRule>
    <cfRule type="cellIs" dxfId="73" priority="3" operator="equal">
      <formula>"O"</formula>
    </cfRule>
  </conditionalFormatting>
  <dataValidations count="2">
    <dataValidation type="list" allowBlank="1" showInputMessage="1" showErrorMessage="1" sqref="DH3:DJ12 DM3:DU12 DX3:EC12" xr:uid="{0423DBE5-35ED-4D9A-A812-A2926C32C716}">
      <formula1>"X,O,N/A"</formula1>
    </dataValidation>
    <dataValidation type="list" allowBlank="1" showInputMessage="1" showErrorMessage="1" sqref="DH13:DJ13 DM13:DU13 DX13:EC13" xr:uid="{0D98BC15-163F-4B01-932D-D02439E1F4E7}">
      <formula1>"Pass,Not Pass, Consider"</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ED4F6-BF46-467F-9240-276FCF87EC63}">
  <dimension ref="A1:EV17"/>
  <sheetViews>
    <sheetView topLeftCell="A8" zoomScale="70" zoomScaleNormal="70" workbookViewId="0">
      <pane xSplit="2" topLeftCell="BU1" activePane="topRight" state="frozen"/>
      <selection pane="topRight" activeCell="CC13" sqref="CC13"/>
    </sheetView>
  </sheetViews>
  <sheetFormatPr defaultColWidth="8.81640625" defaultRowHeight="14.5"/>
  <cols>
    <col min="1" max="1" width="8.81640625" style="18"/>
    <col min="2" max="2" width="45.54296875" style="18" customWidth="1"/>
    <col min="3" max="20" width="20.6328125" style="21" customWidth="1"/>
    <col min="21" max="122" width="20.6328125" style="18" customWidth="1"/>
    <col min="123" max="125" width="8.81640625" style="18"/>
    <col min="126" max="126" width="22.1796875" style="18" customWidth="1"/>
    <col min="127" max="16384" width="8.81640625" style="18"/>
  </cols>
  <sheetData>
    <row r="1" spans="1:152">
      <c r="B1" s="19" t="s">
        <v>189</v>
      </c>
      <c r="C1" s="20" t="s">
        <v>54</v>
      </c>
      <c r="D1" s="60" t="s">
        <v>19</v>
      </c>
    </row>
    <row r="2" spans="1:152" s="19" customFormat="1" ht="28">
      <c r="A2" s="22" t="s">
        <v>61</v>
      </c>
      <c r="B2" s="22" t="s">
        <v>190</v>
      </c>
      <c r="C2" s="73" t="s">
        <v>229</v>
      </c>
      <c r="D2" s="73" t="s">
        <v>230</v>
      </c>
      <c r="E2" s="73" t="s">
        <v>231</v>
      </c>
      <c r="F2" s="73" t="s">
        <v>232</v>
      </c>
      <c r="G2" s="73" t="s">
        <v>233</v>
      </c>
      <c r="H2" s="73" t="s">
        <v>234</v>
      </c>
      <c r="I2" s="73" t="s">
        <v>235</v>
      </c>
      <c r="J2" s="73" t="s">
        <v>236</v>
      </c>
      <c r="K2" s="73" t="s">
        <v>237</v>
      </c>
      <c r="L2" s="73" t="s">
        <v>238</v>
      </c>
      <c r="M2" s="73" t="s">
        <v>239</v>
      </c>
      <c r="N2" s="73" t="s">
        <v>240</v>
      </c>
      <c r="O2" s="73" t="s">
        <v>241</v>
      </c>
      <c r="P2" s="73" t="s">
        <v>242</v>
      </c>
      <c r="Q2" s="73" t="s">
        <v>243</v>
      </c>
      <c r="R2" s="73" t="s">
        <v>244</v>
      </c>
      <c r="S2" s="73" t="s">
        <v>245</v>
      </c>
      <c r="T2" s="73" t="s">
        <v>246</v>
      </c>
      <c r="U2" s="73" t="s">
        <v>247</v>
      </c>
      <c r="V2" s="73" t="s">
        <v>248</v>
      </c>
      <c r="W2" s="73" t="s">
        <v>249</v>
      </c>
      <c r="X2" s="73" t="s">
        <v>250</v>
      </c>
      <c r="Y2" s="73" t="s">
        <v>251</v>
      </c>
      <c r="Z2" s="73" t="s">
        <v>252</v>
      </c>
      <c r="AA2" s="73" t="s">
        <v>253</v>
      </c>
      <c r="AB2" s="73" t="s">
        <v>254</v>
      </c>
      <c r="AC2" s="73" t="s">
        <v>255</v>
      </c>
      <c r="AD2" s="73" t="s">
        <v>256</v>
      </c>
      <c r="AE2" s="73" t="s">
        <v>257</v>
      </c>
      <c r="AF2" s="73" t="s">
        <v>258</v>
      </c>
      <c r="AG2" s="73" t="s">
        <v>259</v>
      </c>
      <c r="AH2" s="73" t="s">
        <v>260</v>
      </c>
      <c r="AI2" s="73" t="s">
        <v>261</v>
      </c>
      <c r="AJ2" s="73" t="s">
        <v>262</v>
      </c>
      <c r="AK2" s="73" t="s">
        <v>263</v>
      </c>
      <c r="AL2" s="73" t="s">
        <v>264</v>
      </c>
      <c r="AM2" s="73" t="s">
        <v>265</v>
      </c>
      <c r="AN2" s="73" t="s">
        <v>266</v>
      </c>
      <c r="AO2" s="73" t="s">
        <v>267</v>
      </c>
      <c r="AP2" s="73" t="s">
        <v>268</v>
      </c>
      <c r="AQ2" s="73" t="s">
        <v>269</v>
      </c>
      <c r="AR2" s="73" t="s">
        <v>270</v>
      </c>
      <c r="AS2" s="73" t="s">
        <v>271</v>
      </c>
      <c r="AT2" s="73" t="s">
        <v>272</v>
      </c>
      <c r="AU2" s="73" t="s">
        <v>273</v>
      </c>
      <c r="AV2" s="73" t="s">
        <v>274</v>
      </c>
      <c r="AW2" s="73" t="s">
        <v>275</v>
      </c>
      <c r="AX2" s="73" t="s">
        <v>276</v>
      </c>
      <c r="AY2" s="73" t="s">
        <v>278</v>
      </c>
      <c r="AZ2" s="73" t="s">
        <v>279</v>
      </c>
      <c r="BA2" s="73" t="s">
        <v>280</v>
      </c>
      <c r="BB2" s="73" t="s">
        <v>281</v>
      </c>
      <c r="BC2" s="73" t="s">
        <v>282</v>
      </c>
      <c r="BD2" s="73" t="s">
        <v>283</v>
      </c>
      <c r="BE2" s="73" t="s">
        <v>284</v>
      </c>
      <c r="BF2" s="73" t="s">
        <v>285</v>
      </c>
      <c r="BG2" s="73" t="s">
        <v>286</v>
      </c>
      <c r="BH2" s="73" t="s">
        <v>287</v>
      </c>
      <c r="BI2" s="73" t="s">
        <v>288</v>
      </c>
      <c r="BJ2" s="73" t="s">
        <v>289</v>
      </c>
      <c r="BK2" s="73" t="s">
        <v>290</v>
      </c>
      <c r="BL2" s="73" t="s">
        <v>291</v>
      </c>
      <c r="BM2" s="73" t="s">
        <v>292</v>
      </c>
      <c r="BN2" s="73" t="s">
        <v>293</v>
      </c>
      <c r="BO2" s="73" t="s">
        <v>294</v>
      </c>
      <c r="BP2" s="73" t="s">
        <v>295</v>
      </c>
      <c r="BQ2" s="73" t="s">
        <v>296</v>
      </c>
      <c r="BR2" s="73" t="s">
        <v>297</v>
      </c>
      <c r="BS2" s="73" t="s">
        <v>298</v>
      </c>
      <c r="BT2" s="73" t="s">
        <v>299</v>
      </c>
      <c r="BU2" s="73" t="s">
        <v>300</v>
      </c>
      <c r="BV2" s="73" t="s">
        <v>301</v>
      </c>
      <c r="BW2" s="73" t="s">
        <v>302</v>
      </c>
      <c r="BX2" s="73" t="s">
        <v>303</v>
      </c>
      <c r="BY2" s="73" t="s">
        <v>304</v>
      </c>
      <c r="BZ2" s="73" t="s">
        <v>305</v>
      </c>
      <c r="CA2" s="73" t="s">
        <v>307</v>
      </c>
      <c r="CB2" s="73" t="s">
        <v>308</v>
      </c>
      <c r="CC2" s="73" t="s">
        <v>309</v>
      </c>
      <c r="CD2" s="73" t="s">
        <v>310</v>
      </c>
      <c r="CE2" s="73" t="s">
        <v>311</v>
      </c>
      <c r="CF2" s="73" t="s">
        <v>312</v>
      </c>
      <c r="CG2" s="73" t="s">
        <v>313</v>
      </c>
      <c r="CH2" s="73" t="s">
        <v>314</v>
      </c>
      <c r="CI2" s="73" t="s">
        <v>315</v>
      </c>
      <c r="CJ2" s="73" t="s">
        <v>316</v>
      </c>
      <c r="CK2" s="73" t="s">
        <v>317</v>
      </c>
      <c r="CL2" s="73" t="s">
        <v>318</v>
      </c>
      <c r="CM2" s="73" t="s">
        <v>319</v>
      </c>
      <c r="CN2" s="73" t="s">
        <v>320</v>
      </c>
      <c r="CO2" s="73" t="s">
        <v>321</v>
      </c>
      <c r="CP2" s="73" t="s">
        <v>322</v>
      </c>
      <c r="CQ2" s="73" t="s">
        <v>323</v>
      </c>
      <c r="CR2" s="73" t="s">
        <v>324</v>
      </c>
      <c r="CS2" s="73" t="s">
        <v>325</v>
      </c>
      <c r="CT2" s="73" t="s">
        <v>326</v>
      </c>
      <c r="CU2" s="73" t="s">
        <v>327</v>
      </c>
      <c r="CV2" s="73" t="s">
        <v>328</v>
      </c>
      <c r="CW2" s="73" t="s">
        <v>329</v>
      </c>
      <c r="CX2" s="73" t="s">
        <v>330</v>
      </c>
      <c r="CY2" s="73" t="s">
        <v>331</v>
      </c>
      <c r="CZ2" s="73" t="s">
        <v>332</v>
      </c>
      <c r="DA2" s="73" t="s">
        <v>333</v>
      </c>
      <c r="DB2" s="73" t="s">
        <v>334</v>
      </c>
      <c r="DC2" s="73" t="s">
        <v>335</v>
      </c>
      <c r="DD2" s="73" t="s">
        <v>336</v>
      </c>
      <c r="DE2" s="73" t="s">
        <v>337</v>
      </c>
      <c r="DF2" s="73" t="s">
        <v>338</v>
      </c>
      <c r="DG2" s="73" t="s">
        <v>339</v>
      </c>
      <c r="DH2" s="73" t="s">
        <v>340</v>
      </c>
      <c r="DI2" s="73" t="s">
        <v>341</v>
      </c>
      <c r="DJ2" s="73" t="s">
        <v>342</v>
      </c>
      <c r="DK2" s="73" t="s">
        <v>343</v>
      </c>
      <c r="DL2" s="73" t="s">
        <v>344</v>
      </c>
      <c r="DM2" s="73" t="s">
        <v>345</v>
      </c>
      <c r="DN2" s="73" t="s">
        <v>346</v>
      </c>
      <c r="DO2" s="73" t="s">
        <v>347</v>
      </c>
      <c r="DP2" s="73" t="s">
        <v>348</v>
      </c>
      <c r="DQ2" s="73" t="s">
        <v>349</v>
      </c>
      <c r="DR2" s="73" t="s">
        <v>350</v>
      </c>
      <c r="DS2" s="73" t="s">
        <v>351</v>
      </c>
      <c r="DT2" s="73" t="s">
        <v>352</v>
      </c>
      <c r="DU2" s="73" t="s">
        <v>353</v>
      </c>
      <c r="DV2" s="73" t="s">
        <v>354</v>
      </c>
      <c r="DW2" s="73" t="s">
        <v>355</v>
      </c>
      <c r="DX2" s="73" t="s">
        <v>356</v>
      </c>
      <c r="DY2" s="73" t="s">
        <v>357</v>
      </c>
      <c r="DZ2" s="73" t="s">
        <v>358</v>
      </c>
      <c r="EA2" s="73" t="s">
        <v>359</v>
      </c>
      <c r="EB2" s="73" t="s">
        <v>360</v>
      </c>
      <c r="EC2" s="73" t="s">
        <v>361</v>
      </c>
      <c r="ED2" s="73" t="s">
        <v>362</v>
      </c>
      <c r="EE2" s="73" t="s">
        <v>363</v>
      </c>
      <c r="EF2" s="73" t="s">
        <v>364</v>
      </c>
      <c r="EG2" s="73" t="s">
        <v>365</v>
      </c>
      <c r="EH2" s="73" t="s">
        <v>366</v>
      </c>
      <c r="EI2" s="73" t="s">
        <v>367</v>
      </c>
      <c r="EJ2" s="73" t="s">
        <v>368</v>
      </c>
      <c r="EK2" s="73" t="s">
        <v>369</v>
      </c>
      <c r="EL2" s="73" t="s">
        <v>370</v>
      </c>
      <c r="EM2" s="73" t="s">
        <v>371</v>
      </c>
      <c r="EN2" s="73" t="s">
        <v>372</v>
      </c>
      <c r="EO2" s="73" t="s">
        <v>373</v>
      </c>
      <c r="EP2" s="73" t="s">
        <v>374</v>
      </c>
      <c r="EQ2" s="73" t="s">
        <v>375</v>
      </c>
      <c r="ER2" s="73" t="s">
        <v>376</v>
      </c>
      <c r="ES2" s="73" t="s">
        <v>377</v>
      </c>
      <c r="ET2" s="73" t="s">
        <v>378</v>
      </c>
      <c r="EU2" s="73" t="s">
        <v>379</v>
      </c>
      <c r="EV2" s="73" t="s">
        <v>380</v>
      </c>
    </row>
    <row r="3" spans="1:152" ht="43.5">
      <c r="A3" s="23">
        <v>1</v>
      </c>
      <c r="B3" s="24" t="s">
        <v>191</v>
      </c>
      <c r="C3" s="77" t="s">
        <v>384</v>
      </c>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62"/>
      <c r="BE3" s="62"/>
      <c r="BF3" s="77"/>
      <c r="BG3" s="77"/>
      <c r="BH3" s="77"/>
      <c r="BI3" s="77"/>
      <c r="BJ3" s="77"/>
      <c r="BK3" s="77"/>
      <c r="BL3" s="77"/>
      <c r="BM3" s="62"/>
      <c r="BN3" s="62"/>
      <c r="BO3" s="77"/>
      <c r="BP3" s="77"/>
      <c r="BQ3" s="77"/>
      <c r="BR3" s="62"/>
      <c r="BS3" s="62"/>
      <c r="BT3" s="62"/>
      <c r="BU3" s="62"/>
      <c r="BV3" s="77"/>
      <c r="BW3" s="77"/>
      <c r="BX3" s="62"/>
      <c r="BY3" s="62"/>
      <c r="BZ3" s="62"/>
      <c r="CA3" s="62"/>
      <c r="CB3" s="62"/>
      <c r="CC3" s="62"/>
      <c r="CD3" s="87"/>
      <c r="CE3" s="62"/>
      <c r="CF3" s="62"/>
      <c r="CV3" s="77"/>
      <c r="CW3" s="77"/>
      <c r="CX3" s="77"/>
      <c r="CY3" s="77"/>
      <c r="CZ3" s="62"/>
      <c r="DA3" s="62"/>
      <c r="DB3" s="62"/>
      <c r="DC3" s="56"/>
      <c r="DD3" s="56"/>
      <c r="DE3" s="56"/>
      <c r="DF3" s="56"/>
      <c r="DG3" s="56"/>
      <c r="DH3" s="62"/>
      <c r="DI3" s="62"/>
      <c r="DJ3" s="62"/>
      <c r="DK3" s="56"/>
      <c r="DL3" s="56"/>
      <c r="DM3" s="56"/>
      <c r="DN3" s="62"/>
      <c r="DU3" s="56"/>
      <c r="DV3" s="56"/>
      <c r="DX3" s="62"/>
      <c r="DY3" s="62"/>
      <c r="EB3" s="62"/>
      <c r="EC3" s="62"/>
    </row>
    <row r="4" spans="1:152" ht="29">
      <c r="A4" s="23">
        <v>2</v>
      </c>
      <c r="B4" s="24" t="s">
        <v>192</v>
      </c>
      <c r="C4" s="78" t="s">
        <v>401</v>
      </c>
      <c r="D4" s="78"/>
      <c r="E4" s="78"/>
      <c r="F4" s="78"/>
      <c r="G4" s="78"/>
      <c r="H4" s="78"/>
      <c r="I4" s="78"/>
      <c r="J4" s="78"/>
      <c r="K4" s="77"/>
      <c r="L4" s="77"/>
      <c r="M4" s="78"/>
      <c r="N4" s="78"/>
      <c r="O4" s="78"/>
      <c r="P4" s="77"/>
      <c r="Q4" s="78"/>
      <c r="R4" s="78"/>
      <c r="S4" s="78"/>
      <c r="T4" s="77"/>
      <c r="U4" s="77"/>
      <c r="V4" s="77"/>
      <c r="W4" s="78"/>
      <c r="X4" s="78"/>
      <c r="Y4" s="78"/>
      <c r="Z4" s="77"/>
      <c r="AA4" s="78"/>
      <c r="AB4" s="78"/>
      <c r="AC4" s="78"/>
      <c r="AD4" s="78"/>
      <c r="AE4" s="77"/>
      <c r="AF4" s="77"/>
      <c r="AG4" s="78"/>
      <c r="AH4" s="78"/>
      <c r="AI4" s="78"/>
      <c r="AJ4" s="78"/>
      <c r="AK4" s="77"/>
      <c r="AL4" s="77"/>
      <c r="AM4" s="77"/>
      <c r="AN4" s="78"/>
      <c r="AO4" s="78"/>
      <c r="AP4" s="78"/>
      <c r="AQ4" s="78"/>
      <c r="AR4" s="78"/>
      <c r="AS4" s="78"/>
      <c r="AT4" s="78"/>
      <c r="AU4" s="78"/>
      <c r="AV4" s="78"/>
      <c r="AW4" s="78"/>
      <c r="AX4" s="77"/>
      <c r="AY4" s="78"/>
      <c r="AZ4" s="78"/>
      <c r="BA4" s="78"/>
      <c r="BB4" s="78"/>
      <c r="BC4" s="77"/>
      <c r="BD4" s="62"/>
      <c r="BE4" s="62"/>
      <c r="BF4" s="77"/>
      <c r="BG4" s="77"/>
      <c r="BH4" s="77"/>
      <c r="BI4" s="77"/>
      <c r="BJ4" s="77"/>
      <c r="BK4" s="77"/>
      <c r="BL4" s="77"/>
      <c r="BM4" s="62"/>
      <c r="BN4" s="62"/>
      <c r="BO4" s="77"/>
      <c r="BP4" s="77"/>
      <c r="BQ4" s="77"/>
      <c r="BR4" s="62"/>
      <c r="BS4" s="62"/>
      <c r="BT4" s="62"/>
      <c r="BU4" s="62"/>
      <c r="BV4" s="77"/>
      <c r="BW4" s="77"/>
      <c r="BX4" s="62"/>
      <c r="BY4" s="62"/>
      <c r="BZ4" s="62"/>
      <c r="CA4" s="62"/>
      <c r="CB4" s="62"/>
      <c r="CC4" s="62"/>
      <c r="CD4" s="87"/>
      <c r="CE4" s="62"/>
      <c r="CF4" s="62"/>
      <c r="CV4" s="77"/>
      <c r="CW4" s="77"/>
      <c r="CX4" s="77"/>
      <c r="CY4" s="77"/>
      <c r="CZ4" s="62"/>
      <c r="DA4" s="62"/>
      <c r="DB4" s="62"/>
      <c r="DC4" s="56"/>
      <c r="DD4" s="56"/>
      <c r="DE4" s="56"/>
      <c r="DF4" s="56"/>
      <c r="DG4" s="56"/>
      <c r="DH4" s="62"/>
      <c r="DI4" s="62"/>
      <c r="DJ4" s="62"/>
      <c r="DK4" s="56"/>
      <c r="DL4" s="56"/>
      <c r="DM4" s="56"/>
      <c r="DN4" s="62"/>
      <c r="DU4" s="56"/>
      <c r="DV4" s="56"/>
      <c r="DX4" s="92"/>
      <c r="DY4" s="62"/>
      <c r="EB4" s="62"/>
      <c r="EC4" s="62"/>
    </row>
    <row r="5" spans="1:152" ht="43.5">
      <c r="A5" s="23">
        <v>3</v>
      </c>
      <c r="B5" s="24" t="s">
        <v>193</v>
      </c>
      <c r="C5" s="77" t="s">
        <v>385</v>
      </c>
      <c r="D5" s="77"/>
      <c r="E5" s="77"/>
      <c r="F5" s="78"/>
      <c r="G5" s="77"/>
      <c r="H5" s="78"/>
      <c r="I5" s="77"/>
      <c r="J5" s="77"/>
      <c r="K5" s="77"/>
      <c r="L5" s="77"/>
      <c r="M5" s="77"/>
      <c r="N5" s="77"/>
      <c r="O5" s="78"/>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62"/>
      <c r="BE5" s="62"/>
      <c r="BF5" s="77"/>
      <c r="BG5" s="77"/>
      <c r="BH5" s="77"/>
      <c r="BI5" s="77"/>
      <c r="BJ5" s="77"/>
      <c r="BK5" s="77"/>
      <c r="BL5" s="77"/>
      <c r="BM5" s="62"/>
      <c r="BN5" s="62"/>
      <c r="BO5" s="77"/>
      <c r="BP5" s="77"/>
      <c r="BQ5" s="77"/>
      <c r="BR5" s="62"/>
      <c r="BS5" s="62"/>
      <c r="BT5" s="62"/>
      <c r="BU5" s="62"/>
      <c r="BV5" s="77"/>
      <c r="BW5" s="77"/>
      <c r="BX5" s="62"/>
      <c r="BY5" s="62"/>
      <c r="BZ5" s="62"/>
      <c r="CA5" s="62"/>
      <c r="CB5" s="62"/>
      <c r="CC5" s="62"/>
      <c r="CD5" s="87"/>
      <c r="CE5" s="62"/>
      <c r="CF5" s="62"/>
      <c r="CV5" s="77"/>
      <c r="CW5" s="77"/>
      <c r="CX5" s="77"/>
      <c r="CY5" s="77"/>
      <c r="CZ5" s="62"/>
      <c r="DA5" s="62"/>
      <c r="DB5" s="62"/>
      <c r="DC5" s="56"/>
      <c r="DD5" s="56"/>
      <c r="DE5" s="56"/>
      <c r="DF5" s="56"/>
      <c r="DG5" s="56"/>
      <c r="DH5" s="62"/>
      <c r="DI5" s="62"/>
      <c r="DJ5" s="62"/>
      <c r="DK5" s="56"/>
      <c r="DL5" s="56"/>
      <c r="DM5" s="56"/>
      <c r="DN5" s="62"/>
      <c r="DU5" s="56"/>
      <c r="DV5" s="56"/>
      <c r="DX5" s="62"/>
      <c r="DY5" s="62"/>
      <c r="EB5" s="62"/>
      <c r="EC5" s="62"/>
    </row>
    <row r="6" spans="1:152" ht="29">
      <c r="A6" s="23">
        <v>4</v>
      </c>
      <c r="B6" s="24" t="s">
        <v>194</v>
      </c>
      <c r="C6" s="77" t="s">
        <v>384</v>
      </c>
      <c r="D6" s="77"/>
      <c r="E6" s="77"/>
      <c r="F6" s="77"/>
      <c r="G6" s="77"/>
      <c r="H6" s="77"/>
      <c r="I6" s="77"/>
      <c r="J6" s="77"/>
      <c r="K6" s="77"/>
      <c r="L6" s="77"/>
      <c r="M6" s="78"/>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c r="AO6" s="77"/>
      <c r="AP6" s="77"/>
      <c r="AQ6" s="77"/>
      <c r="AR6" s="77"/>
      <c r="AS6" s="77"/>
      <c r="AT6" s="77"/>
      <c r="AU6" s="77"/>
      <c r="AV6" s="77"/>
      <c r="AW6" s="77"/>
      <c r="AX6" s="77"/>
      <c r="AY6" s="77"/>
      <c r="AZ6" s="77"/>
      <c r="BA6" s="77"/>
      <c r="BB6" s="77"/>
      <c r="BC6" s="77"/>
      <c r="BD6" s="62"/>
      <c r="BE6" s="62"/>
      <c r="BF6" s="77"/>
      <c r="BG6" s="77"/>
      <c r="BH6" s="77"/>
      <c r="BI6" s="77"/>
      <c r="BJ6" s="77"/>
      <c r="BK6" s="77"/>
      <c r="BL6" s="77"/>
      <c r="BM6" s="62"/>
      <c r="BN6" s="62"/>
      <c r="BO6" s="77"/>
      <c r="BP6" s="77"/>
      <c r="BQ6" s="77"/>
      <c r="BR6" s="62"/>
      <c r="BS6" s="62"/>
      <c r="BT6" s="62"/>
      <c r="BU6" s="62"/>
      <c r="BV6" s="77"/>
      <c r="BW6" s="77"/>
      <c r="BX6" s="62"/>
      <c r="BY6" s="62"/>
      <c r="BZ6" s="62"/>
      <c r="CA6" s="62"/>
      <c r="CB6" s="62"/>
      <c r="CC6" s="62"/>
      <c r="CD6" s="87"/>
      <c r="CE6" s="62"/>
      <c r="CF6" s="62"/>
      <c r="CV6" s="77"/>
      <c r="CW6" s="77"/>
      <c r="CX6" s="77"/>
      <c r="CY6" s="77"/>
      <c r="CZ6" s="62"/>
      <c r="DA6" s="62"/>
      <c r="DB6" s="62"/>
      <c r="DC6" s="56"/>
      <c r="DD6" s="56"/>
      <c r="DE6" s="56"/>
      <c r="DF6" s="56"/>
      <c r="DG6" s="56"/>
      <c r="DH6" s="62"/>
      <c r="DI6" s="62"/>
      <c r="DJ6" s="62"/>
      <c r="DK6" s="56"/>
      <c r="DL6" s="56"/>
      <c r="DM6" s="56"/>
      <c r="DN6" s="62"/>
      <c r="DU6" s="56"/>
      <c r="DV6" s="56"/>
      <c r="DX6" s="62"/>
      <c r="DY6" s="62"/>
      <c r="EB6" s="62"/>
      <c r="EC6" s="92"/>
    </row>
    <row r="7" spans="1:152" ht="43.5">
      <c r="A7" s="23">
        <v>5</v>
      </c>
      <c r="B7" s="24" t="s">
        <v>195</v>
      </c>
      <c r="C7" s="77" t="s">
        <v>384</v>
      </c>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c r="AN7" s="77"/>
      <c r="AO7" s="77"/>
      <c r="AP7" s="77"/>
      <c r="AQ7" s="77"/>
      <c r="AR7" s="77"/>
      <c r="AS7" s="77"/>
      <c r="AT7" s="77"/>
      <c r="AU7" s="77"/>
      <c r="AV7" s="77"/>
      <c r="AW7" s="77"/>
      <c r="AX7" s="77"/>
      <c r="AY7" s="77"/>
      <c r="AZ7" s="77"/>
      <c r="BA7" s="77"/>
      <c r="BB7" s="77"/>
      <c r="BC7" s="77"/>
      <c r="BD7" s="62"/>
      <c r="BE7" s="62"/>
      <c r="BF7" s="77"/>
      <c r="BG7" s="77"/>
      <c r="BH7" s="77"/>
      <c r="BI7" s="77"/>
      <c r="BJ7" s="77"/>
      <c r="BK7" s="77"/>
      <c r="BL7" s="77"/>
      <c r="BM7" s="62"/>
      <c r="BN7" s="62"/>
      <c r="BO7" s="77"/>
      <c r="BP7" s="77"/>
      <c r="BQ7" s="77"/>
      <c r="BR7" s="62"/>
      <c r="BS7" s="62"/>
      <c r="BT7" s="62"/>
      <c r="BU7" s="62"/>
      <c r="BV7" s="77"/>
      <c r="BW7" s="77"/>
      <c r="BX7" s="62"/>
      <c r="BY7" s="62"/>
      <c r="BZ7" s="62"/>
      <c r="CA7" s="62"/>
      <c r="CB7" s="62"/>
      <c r="CC7" s="62"/>
      <c r="CD7" s="87"/>
      <c r="CE7" s="62"/>
      <c r="CF7" s="62"/>
      <c r="CV7" s="77"/>
      <c r="CW7" s="77"/>
      <c r="CX7" s="77"/>
      <c r="CY7" s="77"/>
      <c r="CZ7" s="62"/>
      <c r="DA7" s="62"/>
      <c r="DB7" s="62"/>
      <c r="DC7" s="56"/>
      <c r="DD7" s="56"/>
      <c r="DE7" s="56"/>
      <c r="DF7" s="56"/>
      <c r="DG7" s="56"/>
      <c r="DH7" s="62"/>
      <c r="DI7" s="62"/>
      <c r="DJ7" s="62"/>
      <c r="DK7" s="56"/>
      <c r="DL7" s="56"/>
      <c r="DM7" s="56"/>
      <c r="DN7" s="62"/>
      <c r="DU7" s="56"/>
      <c r="DV7" s="56"/>
      <c r="DX7" s="62"/>
      <c r="DY7" s="62"/>
      <c r="EB7" s="62"/>
      <c r="EC7" s="92"/>
    </row>
    <row r="8" spans="1:152" ht="29">
      <c r="A8" s="23">
        <v>6</v>
      </c>
      <c r="B8" s="24" t="s">
        <v>196</v>
      </c>
      <c r="C8" s="77" t="s">
        <v>385</v>
      </c>
      <c r="D8" s="78"/>
      <c r="E8" s="78"/>
      <c r="F8" s="78"/>
      <c r="G8" s="78"/>
      <c r="H8" s="78"/>
      <c r="I8" s="78"/>
      <c r="J8" s="78"/>
      <c r="K8" s="77"/>
      <c r="L8" s="78"/>
      <c r="M8" s="78"/>
      <c r="N8" s="78"/>
      <c r="O8" s="77"/>
      <c r="P8" s="77"/>
      <c r="Q8" s="78"/>
      <c r="R8" s="78"/>
      <c r="S8" s="78"/>
      <c r="T8" s="77"/>
      <c r="U8" s="77"/>
      <c r="V8" s="78"/>
      <c r="W8" s="78"/>
      <c r="X8" s="78"/>
      <c r="Y8" s="78"/>
      <c r="Z8" s="77"/>
      <c r="AA8" s="78"/>
      <c r="AB8" s="78"/>
      <c r="AC8" s="78"/>
      <c r="AD8" s="78"/>
      <c r="AE8" s="78"/>
      <c r="AF8" s="78"/>
      <c r="AG8" s="78"/>
      <c r="AH8" s="78"/>
      <c r="AI8" s="78"/>
      <c r="AJ8" s="78"/>
      <c r="AK8" s="77"/>
      <c r="AL8" s="77"/>
      <c r="AM8" s="77"/>
      <c r="AN8" s="78"/>
      <c r="AO8" s="78"/>
      <c r="AP8" s="78"/>
      <c r="AQ8" s="78"/>
      <c r="AR8" s="78"/>
      <c r="AS8" s="78"/>
      <c r="AT8" s="78"/>
      <c r="AU8" s="78"/>
      <c r="AV8" s="78"/>
      <c r="AW8" s="78"/>
      <c r="AX8" s="77"/>
      <c r="AY8" s="78"/>
      <c r="AZ8" s="78"/>
      <c r="BA8" s="78"/>
      <c r="BB8" s="78"/>
      <c r="BC8" s="77"/>
      <c r="BD8" s="62"/>
      <c r="BE8" s="62"/>
      <c r="BF8" s="77"/>
      <c r="BG8" s="77"/>
      <c r="BH8" s="77"/>
      <c r="BI8" s="77"/>
      <c r="BJ8" s="77"/>
      <c r="BK8" s="77"/>
      <c r="BL8" s="77"/>
      <c r="BM8" s="62"/>
      <c r="BN8" s="62"/>
      <c r="BO8" s="77"/>
      <c r="BP8" s="77"/>
      <c r="BQ8" s="77"/>
      <c r="BR8" s="62"/>
      <c r="BS8" s="62"/>
      <c r="BT8" s="62"/>
      <c r="BU8" s="62"/>
      <c r="BV8" s="77"/>
      <c r="BW8" s="77"/>
      <c r="BX8" s="62"/>
      <c r="BY8" s="62"/>
      <c r="BZ8" s="62"/>
      <c r="CA8" s="62"/>
      <c r="CB8" s="62"/>
      <c r="CC8" s="62"/>
      <c r="CD8" s="87"/>
      <c r="CE8" s="62"/>
      <c r="CF8" s="62"/>
      <c r="CV8" s="77"/>
      <c r="CW8" s="77"/>
      <c r="CX8" s="77"/>
      <c r="CY8" s="77"/>
      <c r="CZ8" s="62"/>
      <c r="DA8" s="62"/>
      <c r="DB8" s="62"/>
      <c r="DC8" s="56"/>
      <c r="DD8" s="56"/>
      <c r="DE8" s="56"/>
      <c r="DF8" s="56"/>
      <c r="DG8" s="56"/>
      <c r="DH8" s="92"/>
      <c r="DI8" s="92"/>
      <c r="DJ8" s="92"/>
      <c r="DK8" s="56"/>
      <c r="DL8" s="56"/>
      <c r="DM8" s="56"/>
      <c r="DN8" s="92"/>
      <c r="DU8" s="56"/>
      <c r="DV8" s="56"/>
      <c r="DX8" s="92"/>
      <c r="DY8" s="92"/>
      <c r="EB8" s="92"/>
      <c r="EC8" s="92"/>
    </row>
    <row r="9" spans="1:152" ht="58">
      <c r="A9" s="23">
        <v>7</v>
      </c>
      <c r="B9" s="24" t="s">
        <v>197</v>
      </c>
      <c r="C9" s="77" t="s">
        <v>384</v>
      </c>
      <c r="D9" s="77"/>
      <c r="E9" s="77"/>
      <c r="F9" s="78"/>
      <c r="G9" s="77"/>
      <c r="H9" s="77"/>
      <c r="I9" s="77"/>
      <c r="J9" s="77"/>
      <c r="K9" s="77"/>
      <c r="L9" s="77"/>
      <c r="M9" s="77"/>
      <c r="N9" s="77"/>
      <c r="O9" s="78"/>
      <c r="P9" s="77"/>
      <c r="Q9" s="77"/>
      <c r="R9" s="77"/>
      <c r="S9" s="77"/>
      <c r="T9" s="77"/>
      <c r="U9" s="77"/>
      <c r="V9" s="77"/>
      <c r="W9" s="77"/>
      <c r="X9" s="77"/>
      <c r="Y9" s="77"/>
      <c r="Z9" s="77"/>
      <c r="AA9" s="77"/>
      <c r="AB9" s="77"/>
      <c r="AC9" s="77"/>
      <c r="AD9" s="77"/>
      <c r="AE9" s="77"/>
      <c r="AF9" s="77"/>
      <c r="AG9" s="77"/>
      <c r="AH9" s="77"/>
      <c r="AI9" s="77"/>
      <c r="AJ9" s="77"/>
      <c r="AK9" s="77"/>
      <c r="AL9" s="77"/>
      <c r="AM9" s="77"/>
      <c r="AN9" s="77"/>
      <c r="AO9" s="77"/>
      <c r="AP9" s="77"/>
      <c r="AQ9" s="77"/>
      <c r="AR9" s="77"/>
      <c r="AS9" s="77"/>
      <c r="AT9" s="77"/>
      <c r="AU9" s="77"/>
      <c r="AV9" s="77"/>
      <c r="AW9" s="77"/>
      <c r="AX9" s="77"/>
      <c r="AY9" s="77"/>
      <c r="AZ9" s="77"/>
      <c r="BA9" s="77"/>
      <c r="BB9" s="77"/>
      <c r="BC9" s="77"/>
      <c r="BD9" s="62"/>
      <c r="BE9" s="62"/>
      <c r="BF9" s="77"/>
      <c r="BG9" s="77"/>
      <c r="BH9" s="77"/>
      <c r="BI9" s="77"/>
      <c r="BJ9" s="77"/>
      <c r="BK9" s="77"/>
      <c r="BL9" s="77"/>
      <c r="BM9" s="62"/>
      <c r="BN9" s="62"/>
      <c r="BO9" s="77"/>
      <c r="BP9" s="77"/>
      <c r="BQ9" s="77"/>
      <c r="BR9" s="62"/>
      <c r="BS9" s="62"/>
      <c r="BT9" s="62"/>
      <c r="BU9" s="62"/>
      <c r="BV9" s="77"/>
      <c r="BW9" s="77"/>
      <c r="BX9" s="62"/>
      <c r="BY9" s="62"/>
      <c r="BZ9" s="62"/>
      <c r="CA9" s="62"/>
      <c r="CB9" s="62"/>
      <c r="CC9" s="62"/>
      <c r="CD9" s="87"/>
      <c r="CE9" s="62"/>
      <c r="CF9" s="62"/>
      <c r="CV9" s="77"/>
      <c r="CW9" s="77"/>
      <c r="CX9" s="77"/>
      <c r="CY9" s="77"/>
      <c r="CZ9" s="62"/>
      <c r="DA9" s="62"/>
      <c r="DB9" s="62"/>
      <c r="DC9" s="56"/>
      <c r="DD9" s="56"/>
      <c r="DE9" s="56"/>
      <c r="DF9" s="56"/>
      <c r="DG9" s="56"/>
      <c r="DH9" s="62"/>
      <c r="DI9" s="62"/>
      <c r="DJ9" s="62"/>
      <c r="DK9" s="56"/>
      <c r="DL9" s="56"/>
      <c r="DM9" s="56"/>
      <c r="DN9" s="62"/>
      <c r="DU9" s="56"/>
      <c r="DV9" s="56"/>
      <c r="DX9" s="62"/>
      <c r="DY9" s="62"/>
      <c r="EB9" s="62"/>
      <c r="EC9" s="62"/>
    </row>
    <row r="10" spans="1:152" ht="58">
      <c r="A10" s="23">
        <v>8</v>
      </c>
      <c r="B10" s="24" t="s">
        <v>198</v>
      </c>
      <c r="C10" s="77" t="s">
        <v>384</v>
      </c>
      <c r="D10" s="77"/>
      <c r="E10" s="77"/>
      <c r="F10" s="77"/>
      <c r="G10" s="77"/>
      <c r="H10" s="78"/>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c r="AK10" s="77"/>
      <c r="AL10" s="77"/>
      <c r="AM10" s="77"/>
      <c r="AN10" s="77"/>
      <c r="AO10" s="77"/>
      <c r="AP10" s="77"/>
      <c r="AQ10" s="78"/>
      <c r="AR10" s="77"/>
      <c r="AS10" s="77"/>
      <c r="AT10" s="77"/>
      <c r="AU10" s="77"/>
      <c r="AV10" s="77"/>
      <c r="AW10" s="77"/>
      <c r="AX10" s="77"/>
      <c r="AY10" s="77"/>
      <c r="AZ10" s="77"/>
      <c r="BA10" s="77"/>
      <c r="BB10" s="77"/>
      <c r="BC10" s="77"/>
      <c r="BD10" s="62"/>
      <c r="BE10" s="62"/>
      <c r="BF10" s="77"/>
      <c r="BG10" s="77"/>
      <c r="BH10" s="77"/>
      <c r="BI10" s="77"/>
      <c r="BJ10" s="77"/>
      <c r="BK10" s="77"/>
      <c r="BL10" s="77"/>
      <c r="BM10" s="62"/>
      <c r="BN10" s="62"/>
      <c r="BO10" s="77"/>
      <c r="BP10" s="77"/>
      <c r="BQ10" s="77"/>
      <c r="BR10" s="62"/>
      <c r="BS10" s="62"/>
      <c r="BT10" s="62"/>
      <c r="BU10" s="62"/>
      <c r="BV10" s="77"/>
      <c r="BW10" s="77"/>
      <c r="BX10" s="62"/>
      <c r="BY10" s="62"/>
      <c r="BZ10" s="62"/>
      <c r="CA10" s="62"/>
      <c r="CB10" s="62"/>
      <c r="CC10" s="62"/>
      <c r="CD10" s="87"/>
      <c r="CE10" s="62"/>
      <c r="CF10" s="62"/>
      <c r="CV10" s="77"/>
      <c r="CW10" s="77"/>
      <c r="CX10" s="77"/>
      <c r="CY10" s="77"/>
      <c r="CZ10" s="62"/>
      <c r="DA10" s="62"/>
      <c r="DB10" s="62"/>
      <c r="DC10" s="56"/>
      <c r="DD10" s="56"/>
      <c r="DE10" s="56"/>
      <c r="DF10" s="56"/>
      <c r="DG10" s="56"/>
      <c r="DH10" s="62"/>
      <c r="DI10" s="62"/>
      <c r="DJ10" s="62"/>
      <c r="DK10" s="56"/>
      <c r="DL10" s="56"/>
      <c r="DM10" s="56"/>
      <c r="DN10" s="62"/>
      <c r="DU10" s="56"/>
      <c r="DV10" s="56"/>
      <c r="DX10" s="62"/>
      <c r="DY10" s="62"/>
      <c r="EB10" s="62"/>
      <c r="EC10" s="62"/>
    </row>
    <row r="11" spans="1:152" ht="58">
      <c r="A11" s="23">
        <v>9</v>
      </c>
      <c r="B11" s="24" t="s">
        <v>199</v>
      </c>
      <c r="C11" s="77" t="s">
        <v>384</v>
      </c>
      <c r="D11" s="77"/>
      <c r="E11" s="77"/>
      <c r="F11" s="78"/>
      <c r="G11" s="77"/>
      <c r="H11" s="78"/>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8"/>
      <c r="AR11" s="77"/>
      <c r="AS11" s="77"/>
      <c r="AT11" s="77"/>
      <c r="AU11" s="77"/>
      <c r="AV11" s="77"/>
      <c r="AW11" s="77"/>
      <c r="AX11" s="77"/>
      <c r="AY11" s="77"/>
      <c r="AZ11" s="77"/>
      <c r="BA11" s="77"/>
      <c r="BB11" s="77"/>
      <c r="BC11" s="77"/>
      <c r="BD11" s="62"/>
      <c r="BE11" s="62"/>
      <c r="BF11" s="77"/>
      <c r="BG11" s="77"/>
      <c r="BH11" s="77"/>
      <c r="BI11" s="77"/>
      <c r="BJ11" s="77"/>
      <c r="BK11" s="77"/>
      <c r="BL11" s="77"/>
      <c r="BM11" s="62"/>
      <c r="BN11" s="62"/>
      <c r="BO11" s="77"/>
      <c r="BP11" s="77"/>
      <c r="BQ11" s="77"/>
      <c r="BR11" s="62"/>
      <c r="BS11" s="62"/>
      <c r="BT11" s="62"/>
      <c r="BU11" s="62"/>
      <c r="BV11" s="77"/>
      <c r="BW11" s="77"/>
      <c r="BX11" s="62"/>
      <c r="BY11" s="62"/>
      <c r="BZ11" s="62"/>
      <c r="CA11" s="62"/>
      <c r="CB11" s="62"/>
      <c r="CC11" s="62"/>
      <c r="CD11" s="87"/>
      <c r="CE11" s="62"/>
      <c r="CF11" s="62"/>
      <c r="CV11" s="77"/>
      <c r="CW11" s="77"/>
      <c r="CX11" s="77"/>
      <c r="CY11" s="77"/>
      <c r="CZ11" s="62"/>
      <c r="DA11" s="62"/>
      <c r="DB11" s="62"/>
      <c r="DC11" s="56"/>
      <c r="DD11" s="56"/>
      <c r="DE11" s="56"/>
      <c r="DF11" s="56"/>
      <c r="DG11" s="56"/>
      <c r="DH11" s="62"/>
      <c r="DI11" s="62"/>
      <c r="DJ11" s="62"/>
      <c r="DK11" s="56"/>
      <c r="DL11" s="56"/>
      <c r="DM11" s="56"/>
      <c r="DN11" s="62"/>
      <c r="DU11" s="56"/>
      <c r="DV11" s="56"/>
      <c r="DX11" s="62"/>
      <c r="DY11" s="62"/>
      <c r="EB11" s="62"/>
      <c r="EC11" s="62"/>
    </row>
    <row r="12" spans="1:152" ht="58">
      <c r="A12" s="23">
        <v>10</v>
      </c>
      <c r="B12" s="24" t="s">
        <v>200</v>
      </c>
      <c r="C12" s="77"/>
      <c r="D12" s="77"/>
      <c r="E12" s="77"/>
      <c r="F12" s="77"/>
      <c r="G12" s="77"/>
      <c r="H12" s="77"/>
      <c r="I12" s="77"/>
      <c r="J12" s="77"/>
      <c r="K12" s="77"/>
      <c r="L12" s="77"/>
      <c r="M12" s="77"/>
      <c r="N12" s="77"/>
      <c r="O12" s="78"/>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62"/>
      <c r="BE12" s="62"/>
      <c r="BF12" s="77"/>
      <c r="BG12" s="77"/>
      <c r="BH12" s="77"/>
      <c r="BI12" s="77"/>
      <c r="BJ12" s="77"/>
      <c r="BK12" s="77"/>
      <c r="BL12" s="77"/>
      <c r="BM12" s="62"/>
      <c r="BN12" s="62"/>
      <c r="BO12" s="77"/>
      <c r="BP12" s="77"/>
      <c r="BQ12" s="77"/>
      <c r="BR12" s="62"/>
      <c r="BS12" s="62"/>
      <c r="BT12" s="62"/>
      <c r="BU12" s="62"/>
      <c r="BV12" s="77"/>
      <c r="BW12" s="77"/>
      <c r="BX12" s="62"/>
      <c r="BY12" s="62"/>
      <c r="BZ12" s="62"/>
      <c r="CA12" s="62"/>
      <c r="CB12" s="62"/>
      <c r="CC12" s="62"/>
      <c r="CD12" s="87"/>
      <c r="CE12" s="62"/>
      <c r="CF12" s="62"/>
      <c r="CV12" s="77"/>
      <c r="CW12" s="77"/>
      <c r="CX12" s="77"/>
      <c r="CY12" s="77"/>
      <c r="CZ12" s="62"/>
      <c r="DA12" s="62"/>
      <c r="DB12" s="62"/>
      <c r="DC12" s="56"/>
      <c r="DD12" s="56"/>
      <c r="DE12" s="56"/>
      <c r="DF12" s="56"/>
      <c r="DG12" s="56"/>
      <c r="DH12" s="62"/>
      <c r="DI12" s="62"/>
      <c r="DJ12" s="62"/>
      <c r="DK12" s="56"/>
      <c r="DL12" s="56"/>
      <c r="DM12" s="56"/>
      <c r="DN12" s="62"/>
      <c r="DU12" s="56"/>
      <c r="DV12" s="56"/>
      <c r="DX12" s="62"/>
      <c r="DY12" s="62"/>
      <c r="EB12" s="62"/>
      <c r="EC12" s="62"/>
    </row>
    <row r="13" spans="1:152" s="19" customFormat="1">
      <c r="A13" s="25">
        <v>11</v>
      </c>
      <c r="B13" s="22" t="s">
        <v>201</v>
      </c>
      <c r="C13" s="79" t="s">
        <v>387</v>
      </c>
      <c r="D13" s="79"/>
      <c r="E13" s="79"/>
      <c r="F13" s="80"/>
      <c r="G13" s="79" t="s">
        <v>387</v>
      </c>
      <c r="H13" s="79" t="s">
        <v>387</v>
      </c>
      <c r="I13" s="79" t="s">
        <v>387</v>
      </c>
      <c r="J13" s="79" t="s">
        <v>387</v>
      </c>
      <c r="K13" s="80" t="s">
        <v>386</v>
      </c>
      <c r="L13" s="79" t="s">
        <v>386</v>
      </c>
      <c r="M13" s="79"/>
      <c r="N13" s="79" t="s">
        <v>387</v>
      </c>
      <c r="O13" s="79"/>
      <c r="P13" s="80"/>
      <c r="Q13" s="79"/>
      <c r="R13" s="79"/>
      <c r="S13" s="79" t="s">
        <v>386</v>
      </c>
      <c r="T13" s="80" t="s">
        <v>387</v>
      </c>
      <c r="U13" s="79" t="s">
        <v>387</v>
      </c>
      <c r="V13" s="79" t="s">
        <v>387</v>
      </c>
      <c r="W13" s="79" t="s">
        <v>387</v>
      </c>
      <c r="X13" s="79"/>
      <c r="Y13" s="79"/>
      <c r="Z13" s="79" t="s">
        <v>386</v>
      </c>
      <c r="AA13" s="79" t="s">
        <v>386</v>
      </c>
      <c r="AB13" s="79" t="s">
        <v>386</v>
      </c>
      <c r="AC13" s="79" t="s">
        <v>386</v>
      </c>
      <c r="AD13" s="79" t="s">
        <v>386</v>
      </c>
      <c r="AE13" s="79" t="s">
        <v>387</v>
      </c>
      <c r="AF13" s="79"/>
      <c r="AG13" s="79"/>
      <c r="AH13" s="79"/>
      <c r="AI13" s="79" t="s">
        <v>386</v>
      </c>
      <c r="AJ13" s="79" t="s">
        <v>386</v>
      </c>
      <c r="AK13" s="80" t="s">
        <v>387</v>
      </c>
      <c r="AL13" s="80" t="s">
        <v>387</v>
      </c>
      <c r="AM13" s="80" t="s">
        <v>387</v>
      </c>
      <c r="AN13" s="80" t="s">
        <v>387</v>
      </c>
      <c r="AO13" s="79" t="s">
        <v>386</v>
      </c>
      <c r="AP13" s="79" t="s">
        <v>387</v>
      </c>
      <c r="AQ13" s="80" t="s">
        <v>386</v>
      </c>
      <c r="AR13" s="79" t="s">
        <v>387</v>
      </c>
      <c r="AS13" s="79"/>
      <c r="AT13" s="79" t="s">
        <v>387</v>
      </c>
      <c r="AU13" s="79"/>
      <c r="AV13" s="79"/>
      <c r="AW13" s="79"/>
      <c r="AX13" s="80" t="s">
        <v>387</v>
      </c>
      <c r="AY13" s="79" t="s">
        <v>387</v>
      </c>
      <c r="AZ13" s="79" t="s">
        <v>386</v>
      </c>
      <c r="BA13" s="79"/>
      <c r="BB13" s="79"/>
      <c r="BC13" s="79"/>
      <c r="BD13" s="20"/>
      <c r="BE13" s="20"/>
      <c r="BF13" s="79"/>
      <c r="BG13" s="79"/>
      <c r="BH13" s="79"/>
      <c r="BI13" s="79"/>
      <c r="BJ13" s="79"/>
      <c r="BK13" s="79"/>
      <c r="BL13" s="79" t="s">
        <v>387</v>
      </c>
      <c r="BM13" s="63" t="s">
        <v>386</v>
      </c>
      <c r="BN13" s="63"/>
      <c r="BO13" s="79" t="s">
        <v>386</v>
      </c>
      <c r="BP13" s="79" t="s">
        <v>387</v>
      </c>
      <c r="BQ13" s="80"/>
      <c r="BR13" s="63"/>
      <c r="BS13" s="63"/>
      <c r="BT13" s="63" t="s">
        <v>386</v>
      </c>
      <c r="BU13" s="63" t="s">
        <v>386</v>
      </c>
      <c r="BV13" s="79"/>
      <c r="BW13" s="79" t="s">
        <v>387</v>
      </c>
      <c r="BX13" s="63" t="s">
        <v>386</v>
      </c>
      <c r="BY13" s="63" t="s">
        <v>387</v>
      </c>
      <c r="BZ13" s="63"/>
      <c r="CA13" s="63" t="s">
        <v>386</v>
      </c>
      <c r="CB13" s="63" t="s">
        <v>387</v>
      </c>
      <c r="CC13" s="63"/>
      <c r="CD13" s="88"/>
      <c r="CE13" s="20"/>
      <c r="CF13" s="20"/>
      <c r="CV13" s="79"/>
      <c r="CW13" s="79"/>
      <c r="CX13" s="79"/>
      <c r="CY13" s="79"/>
      <c r="CZ13" s="63"/>
      <c r="DA13" s="63"/>
      <c r="DB13" s="63"/>
      <c r="DC13" s="79"/>
      <c r="DD13" s="79"/>
      <c r="DE13" s="79"/>
      <c r="DF13" s="79"/>
      <c r="DG13" s="80"/>
      <c r="DH13" s="63"/>
      <c r="DI13" s="63"/>
      <c r="DJ13" s="63"/>
      <c r="DK13" s="79"/>
      <c r="DL13" s="80"/>
      <c r="DN13" s="63"/>
      <c r="DU13" s="80"/>
      <c r="DV13" s="80"/>
      <c r="DY13" s="63"/>
      <c r="EB13" s="63"/>
      <c r="EC13" s="63"/>
    </row>
    <row r="14" spans="1:152" ht="222" customHeight="1">
      <c r="A14" s="23">
        <v>12</v>
      </c>
      <c r="B14" s="26" t="s">
        <v>202</v>
      </c>
      <c r="C14" s="131" t="s">
        <v>490</v>
      </c>
      <c r="D14" s="135"/>
      <c r="E14" s="131"/>
      <c r="F14" s="82"/>
      <c r="G14" s="131" t="s">
        <v>491</v>
      </c>
      <c r="H14" s="131" t="s">
        <v>492</v>
      </c>
      <c r="I14" s="131"/>
      <c r="J14" s="131"/>
      <c r="K14" s="131"/>
      <c r="L14" s="133"/>
      <c r="M14" s="133"/>
      <c r="N14" s="131"/>
      <c r="O14" s="131"/>
      <c r="P14" s="133"/>
      <c r="Q14" s="133"/>
      <c r="R14" s="131"/>
      <c r="S14" s="131"/>
      <c r="T14" s="131"/>
      <c r="U14" s="133"/>
      <c r="V14" s="131"/>
      <c r="W14" s="132"/>
      <c r="X14" s="131"/>
      <c r="Y14" s="131"/>
      <c r="Z14" s="131"/>
      <c r="AA14" s="131"/>
      <c r="AB14" s="131"/>
      <c r="AC14" s="131"/>
      <c r="AD14" s="131"/>
      <c r="AE14" s="131"/>
      <c r="AF14" s="133"/>
      <c r="AG14" s="133"/>
      <c r="AH14" s="132"/>
      <c r="AI14" s="131"/>
      <c r="AJ14" s="132"/>
      <c r="AK14" s="131"/>
      <c r="AL14" s="131"/>
      <c r="AM14" s="131"/>
      <c r="AN14" s="131"/>
      <c r="AO14" s="134"/>
      <c r="AP14" s="131"/>
      <c r="AQ14" s="131"/>
      <c r="AR14" s="132"/>
      <c r="AS14" s="131"/>
      <c r="AT14" s="131"/>
      <c r="AU14" s="131"/>
      <c r="AV14" s="131"/>
      <c r="AW14" s="131"/>
      <c r="AX14" s="131"/>
      <c r="AY14" s="133"/>
      <c r="AZ14" s="131"/>
      <c r="BA14" s="131"/>
      <c r="BB14" s="131"/>
      <c r="BC14" s="133"/>
      <c r="BD14" s="133"/>
      <c r="BE14" s="131"/>
      <c r="BF14" s="133"/>
      <c r="BG14" s="131"/>
      <c r="BH14" s="133"/>
      <c r="BI14" s="134"/>
      <c r="BJ14" s="131"/>
      <c r="BK14" s="134"/>
      <c r="BL14" s="131" t="s">
        <v>493</v>
      </c>
      <c r="BM14" s="134"/>
      <c r="BN14" s="134"/>
      <c r="BX14" s="74"/>
      <c r="CV14" s="134"/>
      <c r="CY14" s="75"/>
      <c r="CZ14" s="75"/>
      <c r="DB14" s="75"/>
      <c r="DC14" s="56"/>
      <c r="DD14" s="56"/>
      <c r="DE14" s="56"/>
      <c r="DF14" s="56"/>
      <c r="DG14" s="86"/>
      <c r="DH14" s="93"/>
      <c r="DI14" s="94"/>
      <c r="DJ14" s="94"/>
      <c r="DN14" s="93"/>
      <c r="DU14" s="86"/>
      <c r="DV14" s="86"/>
    </row>
    <row r="15" spans="1:152">
      <c r="C15" s="131"/>
      <c r="D15" s="135"/>
      <c r="E15" s="131"/>
      <c r="F15" s="82"/>
      <c r="G15" s="131"/>
      <c r="H15" s="131"/>
      <c r="I15" s="131"/>
      <c r="J15" s="131"/>
      <c r="K15" s="131"/>
      <c r="L15" s="133"/>
      <c r="M15" s="133"/>
      <c r="N15" s="131"/>
      <c r="O15" s="131"/>
      <c r="P15" s="133"/>
      <c r="Q15" s="133"/>
      <c r="R15" s="131"/>
      <c r="S15" s="131"/>
      <c r="T15" s="131"/>
      <c r="U15" s="133"/>
      <c r="V15" s="131"/>
      <c r="W15" s="132"/>
      <c r="X15" s="131"/>
      <c r="Y15" s="131"/>
      <c r="Z15" s="131"/>
      <c r="AA15" s="131"/>
      <c r="AB15" s="131"/>
      <c r="AC15" s="131"/>
      <c r="AD15" s="131"/>
      <c r="AE15" s="131"/>
      <c r="AF15" s="133"/>
      <c r="AG15" s="133"/>
      <c r="AH15" s="132"/>
      <c r="AI15" s="131"/>
      <c r="AJ15" s="132"/>
      <c r="AK15" s="131"/>
      <c r="AL15" s="131"/>
      <c r="AM15" s="131"/>
      <c r="AN15" s="131"/>
      <c r="AO15" s="134"/>
      <c r="AP15" s="131"/>
      <c r="AQ15" s="131"/>
      <c r="AR15" s="132"/>
      <c r="AS15" s="131"/>
      <c r="AT15" s="131"/>
      <c r="AU15" s="131"/>
      <c r="AV15" s="131"/>
      <c r="AW15" s="131"/>
      <c r="AX15" s="131"/>
      <c r="AY15" s="133"/>
      <c r="AZ15" s="131"/>
      <c r="BA15" s="131"/>
      <c r="BB15" s="131"/>
      <c r="BC15" s="133"/>
      <c r="BD15" s="133"/>
      <c r="BE15" s="131"/>
      <c r="BF15" s="133"/>
      <c r="BG15" s="131"/>
      <c r="BH15" s="133"/>
      <c r="BI15" s="134"/>
      <c r="BJ15" s="131"/>
      <c r="BK15" s="134"/>
      <c r="BL15" s="131"/>
      <c r="BM15" s="134"/>
      <c r="BN15" s="134"/>
      <c r="CV15" s="134"/>
    </row>
    <row r="16" spans="1:152">
      <c r="C16" s="131"/>
      <c r="D16" s="135"/>
      <c r="E16" s="131"/>
      <c r="F16" s="82"/>
      <c r="G16" s="131"/>
      <c r="H16" s="131"/>
      <c r="I16" s="131"/>
      <c r="J16" s="131"/>
      <c r="K16" s="131"/>
      <c r="L16" s="133"/>
      <c r="M16" s="133"/>
      <c r="N16" s="131"/>
      <c r="O16" s="131"/>
      <c r="P16" s="133"/>
      <c r="Q16" s="133"/>
      <c r="R16" s="131"/>
      <c r="S16" s="131"/>
      <c r="T16" s="131"/>
      <c r="U16" s="133"/>
      <c r="V16" s="131"/>
      <c r="W16" s="132"/>
      <c r="X16" s="131"/>
      <c r="Y16" s="131"/>
      <c r="Z16" s="131"/>
      <c r="AA16" s="131"/>
      <c r="AB16" s="131"/>
      <c r="AC16" s="131"/>
      <c r="AD16" s="131"/>
      <c r="AE16" s="131"/>
      <c r="AF16" s="133"/>
      <c r="AG16" s="133"/>
      <c r="AH16" s="132"/>
      <c r="AI16" s="131"/>
      <c r="AJ16" s="132"/>
      <c r="AK16" s="131"/>
      <c r="AL16" s="131"/>
      <c r="AM16" s="131"/>
      <c r="AN16" s="131"/>
      <c r="AO16" s="134"/>
      <c r="AP16" s="131"/>
      <c r="AQ16" s="131"/>
      <c r="AR16" s="132"/>
      <c r="AS16" s="131"/>
      <c r="AT16" s="131"/>
      <c r="AU16" s="131"/>
      <c r="AV16" s="131"/>
      <c r="AW16" s="131"/>
      <c r="AX16" s="131"/>
      <c r="AY16" s="133"/>
      <c r="AZ16" s="131"/>
      <c r="BA16" s="131"/>
      <c r="BB16" s="131"/>
      <c r="BC16" s="133"/>
      <c r="BD16" s="133"/>
      <c r="BE16" s="131"/>
      <c r="BF16" s="133"/>
      <c r="BG16" s="131"/>
      <c r="BH16" s="133"/>
      <c r="BI16" s="134"/>
      <c r="BJ16" s="131"/>
      <c r="BK16" s="134"/>
      <c r="BL16" s="131"/>
      <c r="BM16" s="134"/>
      <c r="BN16" s="134"/>
      <c r="CV16" s="134"/>
    </row>
    <row r="17" spans="3:100">
      <c r="C17" s="131"/>
      <c r="D17" s="135"/>
      <c r="E17" s="131"/>
      <c r="F17" s="82"/>
      <c r="G17" s="131"/>
      <c r="H17" s="131"/>
      <c r="I17" s="131"/>
      <c r="J17" s="131"/>
      <c r="K17" s="131"/>
      <c r="L17" s="133"/>
      <c r="M17" s="133"/>
      <c r="N17" s="131"/>
      <c r="O17" s="131"/>
      <c r="P17" s="133"/>
      <c r="Q17" s="133"/>
      <c r="R17" s="131"/>
      <c r="S17" s="131"/>
      <c r="T17" s="131"/>
      <c r="U17" s="133"/>
      <c r="V17" s="131"/>
      <c r="W17" s="132"/>
      <c r="X17" s="131"/>
      <c r="Y17" s="131"/>
      <c r="Z17" s="131"/>
      <c r="AA17" s="131"/>
      <c r="AB17" s="131"/>
      <c r="AC17" s="131"/>
      <c r="AD17" s="131"/>
      <c r="AE17" s="131"/>
      <c r="AF17" s="133"/>
      <c r="AG17" s="133"/>
      <c r="AH17" s="132"/>
      <c r="AI17" s="131"/>
      <c r="AJ17" s="132"/>
      <c r="AK17" s="131"/>
      <c r="AL17" s="131"/>
      <c r="AM17" s="131"/>
      <c r="AN17" s="131"/>
      <c r="AO17" s="134"/>
      <c r="AP17" s="131"/>
      <c r="AQ17" s="131"/>
      <c r="AR17" s="132"/>
      <c r="AS17" s="131"/>
      <c r="AT17" s="131"/>
      <c r="AU17" s="131"/>
      <c r="AV17" s="131"/>
      <c r="AW17" s="131"/>
      <c r="AX17" s="131"/>
      <c r="AY17" s="133"/>
      <c r="AZ17" s="131"/>
      <c r="BA17" s="131"/>
      <c r="BB17" s="131"/>
      <c r="BC17" s="133"/>
      <c r="BD17" s="133"/>
      <c r="BE17" s="131"/>
      <c r="BF17" s="133"/>
      <c r="BG17" s="131"/>
      <c r="BH17" s="133"/>
      <c r="BI17" s="134"/>
      <c r="BJ17" s="131"/>
      <c r="BK17" s="134"/>
      <c r="BL17" s="131"/>
      <c r="BM17" s="134"/>
      <c r="BN17" s="134"/>
      <c r="CV17" s="134"/>
    </row>
  </sheetData>
  <mergeCells count="64">
    <mergeCell ref="AX14:AX17"/>
    <mergeCell ref="BC14:BC17"/>
    <mergeCell ref="BD14:BD17"/>
    <mergeCell ref="BE14:BE17"/>
    <mergeCell ref="BF14:BF17"/>
    <mergeCell ref="N14:N17"/>
    <mergeCell ref="X14:X17"/>
    <mergeCell ref="AA14:AA17"/>
    <mergeCell ref="AB14:AB17"/>
    <mergeCell ref="AC14:AC17"/>
    <mergeCell ref="Y14:Y17"/>
    <mergeCell ref="Z14:Z17"/>
    <mergeCell ref="S14:S17"/>
    <mergeCell ref="T14:T17"/>
    <mergeCell ref="U14:U17"/>
    <mergeCell ref="V14:V17"/>
    <mergeCell ref="W14:W17"/>
    <mergeCell ref="I14:I17"/>
    <mergeCell ref="J14:J17"/>
    <mergeCell ref="K14:K17"/>
    <mergeCell ref="L14:L17"/>
    <mergeCell ref="M14:M17"/>
    <mergeCell ref="C14:C17"/>
    <mergeCell ref="D14:D17"/>
    <mergeCell ref="E14:E17"/>
    <mergeCell ref="G14:G17"/>
    <mergeCell ref="H14:H17"/>
    <mergeCell ref="CV14:CV17"/>
    <mergeCell ref="BK14:BK17"/>
    <mergeCell ref="BL14:BL17"/>
    <mergeCell ref="BM14:BM17"/>
    <mergeCell ref="BN14:BN17"/>
    <mergeCell ref="BI14:BI17"/>
    <mergeCell ref="BJ14:BJ17"/>
    <mergeCell ref="AY14:AY17"/>
    <mergeCell ref="AZ14:AZ17"/>
    <mergeCell ref="BA14:BA17"/>
    <mergeCell ref="BB14:BB17"/>
    <mergeCell ref="BH14:BH17"/>
    <mergeCell ref="BG14:BG17"/>
    <mergeCell ref="AW14:AW17"/>
    <mergeCell ref="AM14:AM17"/>
    <mergeCell ref="AN14:AN17"/>
    <mergeCell ref="AO14:AO17"/>
    <mergeCell ref="AP14:AP17"/>
    <mergeCell ref="AQ14:AQ17"/>
    <mergeCell ref="AR14:AR17"/>
    <mergeCell ref="AS14:AS17"/>
    <mergeCell ref="AT14:AT17"/>
    <mergeCell ref="AU14:AU17"/>
    <mergeCell ref="AV14:AV17"/>
    <mergeCell ref="AK14:AK17"/>
    <mergeCell ref="AL14:AL17"/>
    <mergeCell ref="O14:O17"/>
    <mergeCell ref="P14:P17"/>
    <mergeCell ref="Q14:Q17"/>
    <mergeCell ref="R14:R17"/>
    <mergeCell ref="AE14:AE17"/>
    <mergeCell ref="AF14:AF17"/>
    <mergeCell ref="AG14:AG17"/>
    <mergeCell ref="AD14:AD17"/>
    <mergeCell ref="AH14:AH17"/>
    <mergeCell ref="AI14:AI17"/>
    <mergeCell ref="AJ14:AJ17"/>
  </mergeCells>
  <phoneticPr fontId="23" type="noConversion"/>
  <conditionalFormatting sqref="A13:B13">
    <cfRule type="cellIs" dxfId="72" priority="321" operator="equal">
      <formula>"No"</formula>
    </cfRule>
    <cfRule type="cellIs" dxfId="71" priority="141" operator="equal">
      <formula>"Not Pass"</formula>
    </cfRule>
    <cfRule type="cellIs" dxfId="70" priority="322" operator="equal">
      <formula>"Yes"</formula>
    </cfRule>
  </conditionalFormatting>
  <conditionalFormatting sqref="BD3:BE13">
    <cfRule type="cellIs" dxfId="69" priority="31" operator="equal">
      <formula>"Yes"</formula>
    </cfRule>
    <cfRule type="cellIs" dxfId="68" priority="30" operator="equal">
      <formula>"No"</formula>
    </cfRule>
    <cfRule type="cellIs" dxfId="67" priority="32" operator="equal">
      <formula>"O"</formula>
    </cfRule>
  </conditionalFormatting>
  <conditionalFormatting sqref="BD13:BE13">
    <cfRule type="cellIs" dxfId="66" priority="33" operator="equal">
      <formula>"Not Pass"</formula>
    </cfRule>
  </conditionalFormatting>
  <conditionalFormatting sqref="BM3:BN13">
    <cfRule type="cellIs" dxfId="65" priority="26" operator="equal">
      <formula>"No"</formula>
    </cfRule>
    <cfRule type="cellIs" dxfId="64" priority="28" operator="equal">
      <formula>"O"</formula>
    </cfRule>
    <cfRule type="cellIs" dxfId="63" priority="27" operator="equal">
      <formula>"Yes"</formula>
    </cfRule>
  </conditionalFormatting>
  <conditionalFormatting sqref="BM13:BN13">
    <cfRule type="cellIs" dxfId="62" priority="29" operator="equal">
      <formula>"Not Pass"</formula>
    </cfRule>
  </conditionalFormatting>
  <conditionalFormatting sqref="BO15:BU15">
    <cfRule type="cellIs" dxfId="61" priority="52" operator="equal">
      <formula>"No"</formula>
    </cfRule>
  </conditionalFormatting>
  <conditionalFormatting sqref="BO14:BW14">
    <cfRule type="cellIs" dxfId="60" priority="51" operator="equal">
      <formula>"No"</formula>
    </cfRule>
  </conditionalFormatting>
  <conditionalFormatting sqref="BO14:CC14">
    <cfRule type="cellIs" dxfId="59" priority="45" operator="equal">
      <formula>"Yes"</formula>
    </cfRule>
  </conditionalFormatting>
  <conditionalFormatting sqref="BR3:BU13">
    <cfRule type="cellIs" dxfId="58" priority="44" operator="equal">
      <formula>"O"</formula>
    </cfRule>
    <cfRule type="cellIs" dxfId="57" priority="39" operator="equal">
      <formula>"Yes"</formula>
    </cfRule>
    <cfRule type="cellIs" dxfId="56" priority="38" operator="equal">
      <formula>"No"</formula>
    </cfRule>
  </conditionalFormatting>
  <conditionalFormatting sqref="BR13:BU13 CZ13:DB13">
    <cfRule type="cellIs" dxfId="55" priority="48" operator="equal">
      <formula>"Not Pass"</formula>
    </cfRule>
  </conditionalFormatting>
  <conditionalFormatting sqref="BX3:CF13">
    <cfRule type="cellIs" dxfId="54" priority="22" operator="equal">
      <formula>"No"</formula>
    </cfRule>
    <cfRule type="cellIs" dxfId="53" priority="23" operator="equal">
      <formula>"Yes"</formula>
    </cfRule>
    <cfRule type="cellIs" dxfId="52" priority="24" operator="equal">
      <formula>"O"</formula>
    </cfRule>
  </conditionalFormatting>
  <conditionalFormatting sqref="BX13:CU13">
    <cfRule type="cellIs" dxfId="51" priority="25" operator="equal">
      <formula>"Not Pass"</formula>
    </cfRule>
  </conditionalFormatting>
  <conditionalFormatting sqref="CG13:CU13">
    <cfRule type="cellIs" dxfId="50" priority="47" operator="equal">
      <formula>"Yes"</formula>
    </cfRule>
    <cfRule type="cellIs" dxfId="49" priority="46" operator="equal">
      <formula>"No"</formula>
    </cfRule>
  </conditionalFormatting>
  <conditionalFormatting sqref="CZ3:DB13">
    <cfRule type="cellIs" dxfId="48" priority="43" operator="equal">
      <formula>"O"</formula>
    </cfRule>
    <cfRule type="cellIs" dxfId="47" priority="41" operator="equal">
      <formula>"No"</formula>
    </cfRule>
    <cfRule type="cellIs" dxfId="46" priority="42" operator="equal">
      <formula>"Yes"</formula>
    </cfRule>
  </conditionalFormatting>
  <conditionalFormatting sqref="DH3:DH14">
    <cfRule type="cellIs" dxfId="45" priority="20" operator="equal">
      <formula>"No"</formula>
    </cfRule>
    <cfRule type="cellIs" dxfId="44" priority="21" operator="equal">
      <formula>"Yes"</formula>
    </cfRule>
  </conditionalFormatting>
  <conditionalFormatting sqref="DH3:DJ13">
    <cfRule type="cellIs" dxfId="43" priority="19" operator="equal">
      <formula>"O"</formula>
    </cfRule>
  </conditionalFormatting>
  <conditionalFormatting sqref="DH13:DJ13">
    <cfRule type="cellIs" dxfId="42" priority="16" operator="equal">
      <formula>"Not Pass"</formula>
    </cfRule>
  </conditionalFormatting>
  <conditionalFormatting sqref="DI3:DJ13">
    <cfRule type="cellIs" dxfId="41" priority="18" operator="equal">
      <formula>"Yes"</formula>
    </cfRule>
    <cfRule type="cellIs" dxfId="40" priority="17" operator="equal">
      <formula>"No"</formula>
    </cfRule>
  </conditionalFormatting>
  <conditionalFormatting sqref="DM13 DO13:DT13 DW13:DX13 DZ13:EA13 ED13:XFD13">
    <cfRule type="cellIs" dxfId="39" priority="50" operator="equal">
      <formula>"Yes"</formula>
    </cfRule>
    <cfRule type="cellIs" dxfId="38" priority="49" operator="equal">
      <formula>"No"</formula>
    </cfRule>
  </conditionalFormatting>
  <conditionalFormatting sqref="DM13:DT13">
    <cfRule type="cellIs" dxfId="37" priority="12" operator="equal">
      <formula>"Not Pass"</formula>
    </cfRule>
  </conditionalFormatting>
  <conditionalFormatting sqref="DN3:DN13">
    <cfRule type="cellIs" dxfId="36" priority="13" operator="equal">
      <formula>"O"</formula>
    </cfRule>
  </conditionalFormatting>
  <conditionalFormatting sqref="DN3:DN14">
    <cfRule type="cellIs" dxfId="35" priority="15" operator="equal">
      <formula>"Yes"</formula>
    </cfRule>
    <cfRule type="cellIs" dxfId="34" priority="14" operator="equal">
      <formula>"No"</formula>
    </cfRule>
  </conditionalFormatting>
  <conditionalFormatting sqref="DW13:XFD13">
    <cfRule type="cellIs" dxfId="33" priority="4" operator="equal">
      <formula>"Not Pass"</formula>
    </cfRule>
  </conditionalFormatting>
  <conditionalFormatting sqref="DX3:DX12">
    <cfRule type="cellIs" dxfId="32" priority="11" operator="equal">
      <formula>"O"</formula>
    </cfRule>
    <cfRule type="cellIs" dxfId="31" priority="10" operator="equal">
      <formula>"Yes"</formula>
    </cfRule>
    <cfRule type="cellIs" dxfId="30" priority="9" operator="equal">
      <formula>"No"</formula>
    </cfRule>
  </conditionalFormatting>
  <conditionalFormatting sqref="DY3:DY13">
    <cfRule type="cellIs" dxfId="29" priority="6" operator="equal">
      <formula>"Yes"</formula>
    </cfRule>
    <cfRule type="cellIs" dxfId="28" priority="5" operator="equal">
      <formula>"No"</formula>
    </cfRule>
    <cfRule type="cellIs" dxfId="27" priority="7" operator="equal">
      <formula>"O"</formula>
    </cfRule>
  </conditionalFormatting>
  <conditionalFormatting sqref="EB3:EC13">
    <cfRule type="cellIs" dxfId="26" priority="1" operator="equal">
      <formula>"No"</formula>
    </cfRule>
    <cfRule type="cellIs" dxfId="25" priority="3" operator="equal">
      <formula>"O"</formula>
    </cfRule>
    <cfRule type="cellIs" dxfId="24" priority="2" operator="equal">
      <formula>"Yes"</formula>
    </cfRule>
  </conditionalFormatting>
  <dataValidations count="2">
    <dataValidation type="list" allowBlank="1" showInputMessage="1" showErrorMessage="1" sqref="BX3:CF12 BM3:BN12 BD3:BE12 BR3:BU12 CZ3:DB12 DH3:DJ12 DN3:DN12 DX3:DY12 EB3:EC12" xr:uid="{C9A30D4A-8CAD-46F1-9DC7-4D71AB91C310}">
      <formula1>"X,O,N/A"</formula1>
    </dataValidation>
    <dataValidation type="list" allowBlank="1" showInputMessage="1" showErrorMessage="1" sqref="BX13:CF13 BD13:BE13 BM13:BN13 BR13:BU13 CZ13:DB13 DH13:DJ13 DN13 DY13 EB13:EC13" xr:uid="{72C854AE-7AFF-460A-BF31-B77DBFA64696}">
      <formula1>"Pass,Not Pass, Consider"</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98B0E-649B-4722-BDCD-132E0449059F}">
  <dimension ref="A1:EY20"/>
  <sheetViews>
    <sheetView zoomScale="85" zoomScaleNormal="85" workbookViewId="0">
      <pane xSplit="2" ySplit="1" topLeftCell="P2" activePane="bottomRight" state="frozen"/>
      <selection pane="topRight" activeCell="C1" sqref="C1"/>
      <selection pane="bottomLeft" activeCell="A2" sqref="A2"/>
      <selection pane="bottomRight" activeCell="C3" sqref="C3:CP20"/>
    </sheetView>
  </sheetViews>
  <sheetFormatPr defaultColWidth="8.81640625" defaultRowHeight="14.5"/>
  <cols>
    <col min="1" max="1" width="8.81640625" style="18"/>
    <col min="2" max="2" width="45.54296875" style="18" customWidth="1"/>
    <col min="3" max="122" width="20.6328125" style="18" customWidth="1"/>
    <col min="123" max="16384" width="8.81640625" style="18"/>
  </cols>
  <sheetData>
    <row r="1" spans="1:155">
      <c r="B1" s="19" t="s">
        <v>189</v>
      </c>
      <c r="C1" s="20" t="s">
        <v>54</v>
      </c>
      <c r="D1" s="60" t="s">
        <v>16</v>
      </c>
    </row>
    <row r="2" spans="1:155" s="19" customFormat="1" ht="28">
      <c r="A2" s="22" t="s">
        <v>61</v>
      </c>
      <c r="B2" s="22" t="s">
        <v>190</v>
      </c>
      <c r="C2" s="73" t="s">
        <v>229</v>
      </c>
      <c r="D2" s="73" t="s">
        <v>230</v>
      </c>
      <c r="E2" s="73" t="s">
        <v>231</v>
      </c>
      <c r="F2" s="73" t="s">
        <v>232</v>
      </c>
      <c r="G2" s="73" t="s">
        <v>233</v>
      </c>
      <c r="H2" s="73" t="s">
        <v>234</v>
      </c>
      <c r="I2" s="73" t="s">
        <v>235</v>
      </c>
      <c r="J2" s="73" t="s">
        <v>236</v>
      </c>
      <c r="K2" s="73" t="s">
        <v>237</v>
      </c>
      <c r="L2" s="73" t="s">
        <v>238</v>
      </c>
      <c r="M2" s="73" t="s">
        <v>239</v>
      </c>
      <c r="N2" s="73" t="s">
        <v>240</v>
      </c>
      <c r="O2" s="73" t="s">
        <v>241</v>
      </c>
      <c r="P2" s="73" t="s">
        <v>242</v>
      </c>
      <c r="Q2" s="73" t="s">
        <v>243</v>
      </c>
      <c r="R2" s="73" t="s">
        <v>244</v>
      </c>
      <c r="S2" s="73" t="s">
        <v>245</v>
      </c>
      <c r="T2" s="73" t="s">
        <v>246</v>
      </c>
      <c r="U2" s="73" t="s">
        <v>247</v>
      </c>
      <c r="V2" s="73" t="s">
        <v>248</v>
      </c>
      <c r="W2" s="73" t="s">
        <v>249</v>
      </c>
      <c r="X2" s="73" t="s">
        <v>250</v>
      </c>
      <c r="Y2" s="73" t="s">
        <v>251</v>
      </c>
      <c r="Z2" s="73" t="s">
        <v>252</v>
      </c>
      <c r="AA2" s="73" t="s">
        <v>253</v>
      </c>
      <c r="AB2" s="73" t="s">
        <v>254</v>
      </c>
      <c r="AC2" s="73" t="s">
        <v>255</v>
      </c>
      <c r="AD2" s="73" t="s">
        <v>256</v>
      </c>
      <c r="AE2" s="73" t="s">
        <v>257</v>
      </c>
      <c r="AF2" s="73" t="s">
        <v>258</v>
      </c>
      <c r="AG2" s="73" t="s">
        <v>259</v>
      </c>
      <c r="AH2" s="73" t="s">
        <v>260</v>
      </c>
      <c r="AI2" s="73" t="s">
        <v>261</v>
      </c>
      <c r="AJ2" s="73" t="s">
        <v>262</v>
      </c>
      <c r="AK2" s="73" t="s">
        <v>263</v>
      </c>
      <c r="AL2" s="73" t="s">
        <v>264</v>
      </c>
      <c r="AM2" s="73" t="s">
        <v>265</v>
      </c>
      <c r="AN2" s="73" t="s">
        <v>266</v>
      </c>
      <c r="AO2" s="73" t="s">
        <v>267</v>
      </c>
      <c r="AP2" s="73" t="s">
        <v>268</v>
      </c>
      <c r="AQ2" s="73" t="s">
        <v>269</v>
      </c>
      <c r="AR2" s="73" t="s">
        <v>270</v>
      </c>
      <c r="AS2" s="73" t="s">
        <v>271</v>
      </c>
      <c r="AT2" s="73" t="s">
        <v>272</v>
      </c>
      <c r="AU2" s="73" t="s">
        <v>273</v>
      </c>
      <c r="AV2" s="73" t="s">
        <v>274</v>
      </c>
      <c r="AW2" s="73" t="s">
        <v>275</v>
      </c>
      <c r="AX2" s="73" t="s">
        <v>276</v>
      </c>
      <c r="AY2" s="73" t="s">
        <v>278</v>
      </c>
      <c r="AZ2" s="73" t="s">
        <v>279</v>
      </c>
      <c r="BA2" s="73" t="s">
        <v>280</v>
      </c>
      <c r="BB2" s="73" t="s">
        <v>281</v>
      </c>
      <c r="BC2" s="73" t="s">
        <v>282</v>
      </c>
      <c r="BD2" s="73" t="s">
        <v>283</v>
      </c>
      <c r="BE2" s="73" t="s">
        <v>284</v>
      </c>
      <c r="BF2" s="73" t="s">
        <v>285</v>
      </c>
      <c r="BG2" s="73" t="s">
        <v>286</v>
      </c>
      <c r="BH2" s="73" t="s">
        <v>287</v>
      </c>
      <c r="BI2" s="73" t="s">
        <v>288</v>
      </c>
      <c r="BJ2" s="73" t="s">
        <v>289</v>
      </c>
      <c r="BK2" s="73" t="s">
        <v>290</v>
      </c>
      <c r="BL2" s="73" t="s">
        <v>291</v>
      </c>
      <c r="BM2" s="73" t="s">
        <v>292</v>
      </c>
      <c r="BN2" s="73" t="s">
        <v>293</v>
      </c>
      <c r="BO2" s="73" t="s">
        <v>294</v>
      </c>
      <c r="BP2" s="73" t="s">
        <v>295</v>
      </c>
      <c r="BQ2" s="73" t="s">
        <v>296</v>
      </c>
      <c r="BR2" s="73" t="s">
        <v>297</v>
      </c>
      <c r="BS2" s="73" t="s">
        <v>298</v>
      </c>
      <c r="BT2" s="73" t="s">
        <v>299</v>
      </c>
      <c r="BU2" s="73" t="s">
        <v>300</v>
      </c>
      <c r="BV2" s="73" t="s">
        <v>301</v>
      </c>
      <c r="BW2" s="73" t="s">
        <v>302</v>
      </c>
      <c r="BX2" s="73" t="s">
        <v>303</v>
      </c>
      <c r="BY2" s="73" t="s">
        <v>304</v>
      </c>
      <c r="BZ2" s="73" t="s">
        <v>305</v>
      </c>
      <c r="CA2" s="73" t="s">
        <v>307</v>
      </c>
      <c r="CB2" s="73" t="s">
        <v>308</v>
      </c>
      <c r="CC2" s="73" t="s">
        <v>309</v>
      </c>
      <c r="CD2" s="73" t="s">
        <v>310</v>
      </c>
      <c r="CE2" s="73" t="s">
        <v>311</v>
      </c>
      <c r="CF2" s="73" t="s">
        <v>312</v>
      </c>
      <c r="CG2" s="73" t="s">
        <v>313</v>
      </c>
      <c r="CH2" s="73" t="s">
        <v>314</v>
      </c>
      <c r="CI2" s="73" t="s">
        <v>315</v>
      </c>
      <c r="CJ2" s="73" t="s">
        <v>316</v>
      </c>
      <c r="CK2" s="73" t="s">
        <v>317</v>
      </c>
      <c r="CL2" s="73" t="s">
        <v>318</v>
      </c>
      <c r="CM2" s="73" t="s">
        <v>319</v>
      </c>
      <c r="CN2" s="73" t="s">
        <v>320</v>
      </c>
      <c r="CO2" s="73" t="s">
        <v>321</v>
      </c>
      <c r="CP2" s="73" t="s">
        <v>322</v>
      </c>
      <c r="CQ2" s="73" t="s">
        <v>323</v>
      </c>
      <c r="CR2" s="73" t="s">
        <v>324</v>
      </c>
      <c r="CS2" s="73" t="s">
        <v>325</v>
      </c>
      <c r="CT2" s="73" t="s">
        <v>326</v>
      </c>
      <c r="CU2" s="73" t="s">
        <v>327</v>
      </c>
      <c r="CV2" s="73" t="s">
        <v>328</v>
      </c>
      <c r="CW2" s="73" t="s">
        <v>329</v>
      </c>
      <c r="CX2" s="73" t="s">
        <v>330</v>
      </c>
      <c r="CY2" s="73" t="s">
        <v>331</v>
      </c>
      <c r="CZ2" s="73" t="s">
        <v>332</v>
      </c>
      <c r="DA2" s="73" t="s">
        <v>333</v>
      </c>
      <c r="DB2" s="73" t="s">
        <v>334</v>
      </c>
      <c r="DC2" s="73" t="s">
        <v>335</v>
      </c>
      <c r="DD2" s="73" t="s">
        <v>336</v>
      </c>
      <c r="DE2" s="73" t="s">
        <v>337</v>
      </c>
      <c r="DF2" s="73" t="s">
        <v>338</v>
      </c>
      <c r="DG2" s="73" t="s">
        <v>339</v>
      </c>
      <c r="DH2" s="73" t="s">
        <v>340</v>
      </c>
      <c r="DI2" s="73" t="s">
        <v>341</v>
      </c>
      <c r="DJ2" s="73" t="s">
        <v>342</v>
      </c>
      <c r="DK2" s="73" t="s">
        <v>343</v>
      </c>
      <c r="DL2" s="73" t="s">
        <v>344</v>
      </c>
      <c r="DM2" s="73" t="s">
        <v>345</v>
      </c>
      <c r="DN2" s="73" t="s">
        <v>346</v>
      </c>
      <c r="DO2" s="73" t="s">
        <v>347</v>
      </c>
      <c r="DP2" s="73" t="s">
        <v>348</v>
      </c>
      <c r="DQ2" s="73" t="s">
        <v>349</v>
      </c>
      <c r="DR2" s="73" t="s">
        <v>350</v>
      </c>
      <c r="DS2" s="73" t="s">
        <v>351</v>
      </c>
      <c r="DT2" s="73" t="s">
        <v>352</v>
      </c>
      <c r="DU2" s="73" t="s">
        <v>353</v>
      </c>
      <c r="DV2" s="73" t="s">
        <v>354</v>
      </c>
      <c r="DW2" s="73" t="s">
        <v>355</v>
      </c>
      <c r="DX2" s="73" t="s">
        <v>356</v>
      </c>
      <c r="DY2" s="73" t="s">
        <v>357</v>
      </c>
      <c r="DZ2" s="73" t="s">
        <v>358</v>
      </c>
      <c r="EA2" s="73" t="s">
        <v>359</v>
      </c>
      <c r="EB2" s="73" t="s">
        <v>360</v>
      </c>
      <c r="EC2" s="73" t="s">
        <v>361</v>
      </c>
      <c r="ED2" s="73" t="s">
        <v>362</v>
      </c>
      <c r="EE2" s="73" t="s">
        <v>363</v>
      </c>
      <c r="EF2" s="73" t="s">
        <v>364</v>
      </c>
      <c r="EG2" s="73" t="s">
        <v>365</v>
      </c>
      <c r="EH2" s="73" t="s">
        <v>366</v>
      </c>
      <c r="EI2" s="73" t="s">
        <v>367</v>
      </c>
      <c r="EJ2" s="73" t="s">
        <v>368</v>
      </c>
      <c r="EK2" s="73" t="s">
        <v>369</v>
      </c>
      <c r="EL2" s="73" t="s">
        <v>370</v>
      </c>
      <c r="EM2" s="73" t="s">
        <v>371</v>
      </c>
      <c r="EN2" s="73" t="s">
        <v>372</v>
      </c>
      <c r="EO2" s="73" t="s">
        <v>373</v>
      </c>
      <c r="EP2" s="73" t="s">
        <v>374</v>
      </c>
      <c r="EQ2" s="73" t="s">
        <v>375</v>
      </c>
      <c r="ER2" s="73" t="s">
        <v>376</v>
      </c>
      <c r="ES2" s="73" t="s">
        <v>377</v>
      </c>
      <c r="ET2" s="73" t="s">
        <v>378</v>
      </c>
      <c r="EU2" s="73" t="s">
        <v>379</v>
      </c>
      <c r="EV2" s="73" t="s">
        <v>380</v>
      </c>
      <c r="EW2" s="73" t="s">
        <v>381</v>
      </c>
      <c r="EX2" s="73" t="s">
        <v>382</v>
      </c>
      <c r="EY2" s="73" t="s">
        <v>383</v>
      </c>
    </row>
    <row r="3" spans="1:155" ht="43.5">
      <c r="A3" s="23">
        <v>1</v>
      </c>
      <c r="B3" s="24" t="s">
        <v>191</v>
      </c>
      <c r="C3" s="77"/>
      <c r="D3" s="77"/>
      <c r="E3" s="77" t="s">
        <v>384</v>
      </c>
      <c r="F3" s="77" t="s">
        <v>384</v>
      </c>
      <c r="G3" s="77" t="s">
        <v>384</v>
      </c>
      <c r="H3" s="77"/>
      <c r="I3" s="77"/>
      <c r="J3" s="77"/>
      <c r="K3" s="77" t="s">
        <v>384</v>
      </c>
      <c r="L3" s="77"/>
      <c r="M3" s="77" t="s">
        <v>384</v>
      </c>
      <c r="N3" s="77" t="s">
        <v>384</v>
      </c>
      <c r="O3" s="77"/>
      <c r="P3" s="77"/>
      <c r="Q3" s="77" t="s">
        <v>384</v>
      </c>
      <c r="R3" s="77"/>
      <c r="S3" s="78" t="s">
        <v>401</v>
      </c>
      <c r="T3" s="77" t="s">
        <v>384</v>
      </c>
      <c r="U3" s="77"/>
      <c r="V3" s="77"/>
      <c r="W3" s="77"/>
      <c r="X3" s="77" t="s">
        <v>384</v>
      </c>
      <c r="Y3" s="77"/>
      <c r="Z3" s="77"/>
      <c r="AA3" s="77"/>
      <c r="AB3" s="77"/>
      <c r="AC3" s="77"/>
      <c r="AD3" s="77"/>
      <c r="AE3" s="77" t="s">
        <v>384</v>
      </c>
      <c r="AF3" s="77" t="s">
        <v>384</v>
      </c>
      <c r="AG3" s="77" t="s">
        <v>384</v>
      </c>
      <c r="AH3" s="77"/>
      <c r="AI3" s="77"/>
      <c r="AJ3" s="77" t="s">
        <v>384</v>
      </c>
      <c r="AK3" s="77" t="s">
        <v>384</v>
      </c>
      <c r="AL3" s="77" t="s">
        <v>384</v>
      </c>
      <c r="AM3" s="77" t="s">
        <v>384</v>
      </c>
      <c r="AN3" s="77" t="s">
        <v>384</v>
      </c>
      <c r="AO3" s="77" t="s">
        <v>384</v>
      </c>
      <c r="AP3" s="77" t="s">
        <v>384</v>
      </c>
      <c r="AQ3" s="77" t="s">
        <v>384</v>
      </c>
      <c r="AR3" s="77" t="s">
        <v>384</v>
      </c>
      <c r="AS3" s="77" t="s">
        <v>384</v>
      </c>
      <c r="AT3" s="56"/>
      <c r="AU3" s="77" t="s">
        <v>384</v>
      </c>
      <c r="AV3" s="77" t="s">
        <v>384</v>
      </c>
      <c r="AW3" s="77"/>
      <c r="AX3" s="77" t="s">
        <v>384</v>
      </c>
      <c r="AY3" s="77" t="s">
        <v>384</v>
      </c>
      <c r="AZ3" s="77" t="s">
        <v>384</v>
      </c>
      <c r="BA3" s="77" t="s">
        <v>384</v>
      </c>
      <c r="BB3" s="77" t="s">
        <v>384</v>
      </c>
      <c r="BC3" s="77"/>
      <c r="BD3" s="77"/>
      <c r="BE3" s="77"/>
      <c r="BF3" s="77"/>
      <c r="BG3" s="77"/>
      <c r="BH3" s="77"/>
      <c r="BI3" s="77"/>
      <c r="BJ3" s="77"/>
      <c r="BK3" s="77"/>
      <c r="BL3" s="77" t="s">
        <v>384</v>
      </c>
      <c r="BM3" s="77" t="s">
        <v>384</v>
      </c>
      <c r="BN3" s="77" t="s">
        <v>384</v>
      </c>
      <c r="BO3" s="77"/>
      <c r="BP3" s="77"/>
      <c r="BQ3" s="77"/>
      <c r="BR3" s="77"/>
      <c r="BS3" s="77"/>
      <c r="BT3" s="77"/>
      <c r="BU3" s="77"/>
      <c r="BV3" s="77" t="s">
        <v>384</v>
      </c>
      <c r="BW3" s="77"/>
      <c r="BX3" s="77"/>
      <c r="BY3" s="77"/>
      <c r="BZ3" s="78" t="s">
        <v>401</v>
      </c>
      <c r="CA3" s="77" t="s">
        <v>384</v>
      </c>
      <c r="CB3" s="77" t="s">
        <v>384</v>
      </c>
      <c r="CC3" s="77"/>
      <c r="CD3" s="77"/>
      <c r="CE3" s="77"/>
      <c r="CF3" s="77"/>
      <c r="CG3" s="77"/>
      <c r="CH3" s="77"/>
      <c r="CI3" s="77"/>
      <c r="CJ3" s="77"/>
      <c r="CK3" s="77"/>
      <c r="CL3" s="77"/>
      <c r="CM3" s="77"/>
      <c r="CN3" s="77"/>
      <c r="CO3" s="77"/>
      <c r="CP3" s="77"/>
      <c r="CQ3" s="77"/>
      <c r="CR3" s="77"/>
      <c r="CS3" s="77"/>
      <c r="CT3" s="77"/>
      <c r="CU3" s="77"/>
      <c r="CV3" s="77"/>
      <c r="CW3" s="77"/>
      <c r="CX3" s="77"/>
      <c r="CY3" s="77"/>
      <c r="CZ3" s="77"/>
      <c r="DA3" s="77"/>
      <c r="DB3" s="77"/>
      <c r="DC3" s="77"/>
      <c r="DD3" s="77"/>
      <c r="DE3" s="77"/>
      <c r="DF3" s="77"/>
      <c r="DG3" s="77"/>
      <c r="DH3" s="77"/>
      <c r="DI3" s="77"/>
      <c r="DJ3" s="77"/>
      <c r="DK3" s="56"/>
      <c r="DL3" s="56"/>
      <c r="DM3" s="56"/>
      <c r="DN3" s="56"/>
      <c r="DO3" s="56"/>
      <c r="DP3" s="56"/>
      <c r="DQ3" s="56"/>
      <c r="DR3" s="56"/>
    </row>
    <row r="4" spans="1:155" ht="29">
      <c r="A4" s="23">
        <v>2</v>
      </c>
      <c r="B4" s="24" t="s">
        <v>192</v>
      </c>
      <c r="C4" s="77"/>
      <c r="D4" s="77"/>
      <c r="E4" s="77" t="s">
        <v>385</v>
      </c>
      <c r="F4" s="77" t="s">
        <v>385</v>
      </c>
      <c r="G4" s="77" t="s">
        <v>384</v>
      </c>
      <c r="H4" s="77"/>
      <c r="I4" s="77"/>
      <c r="J4" s="77"/>
      <c r="K4" s="77" t="s">
        <v>385</v>
      </c>
      <c r="L4" s="77"/>
      <c r="M4" s="77" t="s">
        <v>385</v>
      </c>
      <c r="N4" s="77" t="s">
        <v>385</v>
      </c>
      <c r="O4" s="77"/>
      <c r="P4" s="77"/>
      <c r="Q4" s="77" t="s">
        <v>385</v>
      </c>
      <c r="R4" s="77"/>
      <c r="S4" s="77" t="s">
        <v>385</v>
      </c>
      <c r="T4" s="77" t="s">
        <v>384</v>
      </c>
      <c r="U4" s="77"/>
      <c r="V4" s="77"/>
      <c r="W4" s="77"/>
      <c r="X4" s="77" t="s">
        <v>384</v>
      </c>
      <c r="Y4" s="77"/>
      <c r="Z4" s="77"/>
      <c r="AA4" s="77"/>
      <c r="AB4" s="77"/>
      <c r="AC4" s="77"/>
      <c r="AD4" s="77"/>
      <c r="AE4" s="77" t="s">
        <v>385</v>
      </c>
      <c r="AF4" s="77" t="s">
        <v>385</v>
      </c>
      <c r="AG4" s="77" t="s">
        <v>385</v>
      </c>
      <c r="AH4" s="77"/>
      <c r="AI4" s="77"/>
      <c r="AJ4" s="77" t="s">
        <v>384</v>
      </c>
      <c r="AK4" s="77" t="s">
        <v>384</v>
      </c>
      <c r="AL4" s="77" t="s">
        <v>384</v>
      </c>
      <c r="AM4" s="77" t="s">
        <v>384</v>
      </c>
      <c r="AN4" s="77" t="s">
        <v>385</v>
      </c>
      <c r="AO4" s="77" t="s">
        <v>384</v>
      </c>
      <c r="AP4" s="78" t="s">
        <v>401</v>
      </c>
      <c r="AQ4" s="77" t="s">
        <v>385</v>
      </c>
      <c r="AR4" s="77" t="s">
        <v>385</v>
      </c>
      <c r="AS4" s="77" t="s">
        <v>385</v>
      </c>
      <c r="AT4" s="56"/>
      <c r="AU4" s="77" t="s">
        <v>385</v>
      </c>
      <c r="AV4" s="77" t="s">
        <v>385</v>
      </c>
      <c r="AW4" s="77"/>
      <c r="AX4" s="77" t="s">
        <v>384</v>
      </c>
      <c r="AY4" s="77" t="s">
        <v>384</v>
      </c>
      <c r="AZ4" s="77" t="s">
        <v>385</v>
      </c>
      <c r="BA4" s="77" t="s">
        <v>385</v>
      </c>
      <c r="BB4" s="77" t="s">
        <v>385</v>
      </c>
      <c r="BC4" s="77"/>
      <c r="BD4" s="77"/>
      <c r="BE4" s="77"/>
      <c r="BF4" s="77"/>
      <c r="BG4" s="77"/>
      <c r="BH4" s="77"/>
      <c r="BI4" s="77"/>
      <c r="BJ4" s="77"/>
      <c r="BK4" s="77"/>
      <c r="BL4" s="77" t="s">
        <v>384</v>
      </c>
      <c r="BM4" s="77" t="s">
        <v>384</v>
      </c>
      <c r="BN4" s="77" t="s">
        <v>385</v>
      </c>
      <c r="BO4" s="77"/>
      <c r="BP4" s="77"/>
      <c r="BQ4" s="77"/>
      <c r="BR4" s="77"/>
      <c r="BS4" s="77"/>
      <c r="BT4" s="77"/>
      <c r="BU4" s="77"/>
      <c r="BV4" s="77" t="s">
        <v>385</v>
      </c>
      <c r="BW4" s="77"/>
      <c r="BX4" s="77"/>
      <c r="BY4" s="77"/>
      <c r="BZ4" s="78" t="s">
        <v>401</v>
      </c>
      <c r="CA4" s="77" t="s">
        <v>385</v>
      </c>
      <c r="CB4" s="77" t="s">
        <v>384</v>
      </c>
      <c r="CC4" s="77"/>
      <c r="CD4" s="77"/>
      <c r="CE4" s="77"/>
      <c r="CF4" s="77"/>
      <c r="CG4" s="77"/>
      <c r="CH4" s="77"/>
      <c r="CI4" s="77"/>
      <c r="CJ4" s="77"/>
      <c r="CK4" s="77"/>
      <c r="CL4" s="77"/>
      <c r="CM4" s="77"/>
      <c r="CN4" s="77"/>
      <c r="CO4" s="77"/>
      <c r="CP4" s="77"/>
      <c r="CQ4" s="77"/>
      <c r="CR4" s="77"/>
      <c r="CS4" s="77"/>
      <c r="CT4" s="77"/>
      <c r="CU4" s="77"/>
      <c r="CV4" s="77"/>
      <c r="CW4" s="77"/>
      <c r="CX4" s="77"/>
      <c r="CY4" s="77"/>
      <c r="CZ4" s="77"/>
      <c r="DA4" s="77"/>
      <c r="DB4" s="77"/>
      <c r="DC4" s="77"/>
      <c r="DD4" s="77"/>
      <c r="DE4" s="77"/>
      <c r="DF4" s="77"/>
      <c r="DG4" s="77"/>
      <c r="DH4" s="77"/>
      <c r="DI4" s="77"/>
      <c r="DJ4" s="77"/>
      <c r="DK4" s="56"/>
      <c r="DL4" s="56"/>
      <c r="DM4" s="56"/>
      <c r="DN4" s="56"/>
      <c r="DO4" s="56"/>
      <c r="DP4" s="56"/>
      <c r="DQ4" s="56"/>
      <c r="DR4" s="56"/>
    </row>
    <row r="5" spans="1:155" ht="43.5">
      <c r="A5" s="23">
        <v>3</v>
      </c>
      <c r="B5" s="24" t="s">
        <v>193</v>
      </c>
      <c r="C5" s="77"/>
      <c r="D5" s="77"/>
      <c r="E5" s="77" t="s">
        <v>384</v>
      </c>
      <c r="F5" s="77" t="s">
        <v>384</v>
      </c>
      <c r="G5" s="77" t="s">
        <v>384</v>
      </c>
      <c r="H5" s="77"/>
      <c r="I5" s="77"/>
      <c r="J5" s="77"/>
      <c r="K5" s="77" t="s">
        <v>384</v>
      </c>
      <c r="L5" s="77"/>
      <c r="M5" s="77" t="s">
        <v>384</v>
      </c>
      <c r="N5" s="77" t="s">
        <v>384</v>
      </c>
      <c r="O5" s="77"/>
      <c r="P5" s="77"/>
      <c r="Q5" s="77" t="s">
        <v>384</v>
      </c>
      <c r="R5" s="77"/>
      <c r="S5" s="77" t="s">
        <v>385</v>
      </c>
      <c r="T5" s="77" t="s">
        <v>384</v>
      </c>
      <c r="U5" s="77"/>
      <c r="V5" s="77"/>
      <c r="W5" s="77"/>
      <c r="X5" s="77" t="s">
        <v>384</v>
      </c>
      <c r="Y5" s="77"/>
      <c r="Z5" s="77"/>
      <c r="AA5" s="77"/>
      <c r="AB5" s="77"/>
      <c r="AC5" s="77"/>
      <c r="AD5" s="77"/>
      <c r="AE5" s="77" t="s">
        <v>384</v>
      </c>
      <c r="AF5" s="77" t="s">
        <v>384</v>
      </c>
      <c r="AG5" s="77" t="s">
        <v>384</v>
      </c>
      <c r="AH5" s="77"/>
      <c r="AI5" s="77"/>
      <c r="AJ5" s="77" t="s">
        <v>384</v>
      </c>
      <c r="AK5" s="78" t="s">
        <v>401</v>
      </c>
      <c r="AL5" s="77" t="s">
        <v>384</v>
      </c>
      <c r="AM5" s="77" t="s">
        <v>384</v>
      </c>
      <c r="AN5" s="77" t="s">
        <v>384</v>
      </c>
      <c r="AO5" s="77" t="s">
        <v>384</v>
      </c>
      <c r="AP5" s="78" t="s">
        <v>401</v>
      </c>
      <c r="AQ5" s="77" t="s">
        <v>384</v>
      </c>
      <c r="AR5" s="77" t="s">
        <v>385</v>
      </c>
      <c r="AS5" s="77" t="s">
        <v>384</v>
      </c>
      <c r="AT5" s="56"/>
      <c r="AU5" s="77" t="s">
        <v>384</v>
      </c>
      <c r="AV5" s="77" t="s">
        <v>384</v>
      </c>
      <c r="AW5" s="77"/>
      <c r="AX5" s="77" t="s">
        <v>385</v>
      </c>
      <c r="AY5" s="77" t="s">
        <v>385</v>
      </c>
      <c r="AZ5" s="77" t="s">
        <v>384</v>
      </c>
      <c r="BA5" s="77" t="s">
        <v>384</v>
      </c>
      <c r="BB5" s="77" t="s">
        <v>384</v>
      </c>
      <c r="BC5" s="77"/>
      <c r="BD5" s="77"/>
      <c r="BE5" s="77"/>
      <c r="BF5" s="77"/>
      <c r="BG5" s="77"/>
      <c r="BH5" s="77"/>
      <c r="BI5" s="77"/>
      <c r="BJ5" s="77"/>
      <c r="BK5" s="77"/>
      <c r="BL5" s="77" t="s">
        <v>384</v>
      </c>
      <c r="BM5" s="77" t="s">
        <v>384</v>
      </c>
      <c r="BN5" s="77" t="s">
        <v>384</v>
      </c>
      <c r="BO5" s="77"/>
      <c r="BP5" s="77"/>
      <c r="BQ5" s="77"/>
      <c r="BR5" s="77"/>
      <c r="BS5" s="77"/>
      <c r="BT5" s="77"/>
      <c r="BU5" s="77"/>
      <c r="BV5" s="77" t="s">
        <v>384</v>
      </c>
      <c r="BW5" s="77"/>
      <c r="BX5" s="77"/>
      <c r="BY5" s="77"/>
      <c r="BZ5" s="78" t="s">
        <v>401</v>
      </c>
      <c r="CA5" s="77" t="s">
        <v>384</v>
      </c>
      <c r="CB5" s="77" t="s">
        <v>384</v>
      </c>
      <c r="CC5" s="77"/>
      <c r="CD5" s="77"/>
      <c r="CE5" s="77"/>
      <c r="CF5" s="77"/>
      <c r="CG5" s="77"/>
      <c r="CH5" s="77"/>
      <c r="CI5" s="77"/>
      <c r="CJ5" s="77"/>
      <c r="CK5" s="77"/>
      <c r="CL5" s="77"/>
      <c r="CM5" s="77"/>
      <c r="CN5" s="77"/>
      <c r="CO5" s="77"/>
      <c r="CP5" s="77"/>
      <c r="CQ5" s="77"/>
      <c r="CR5" s="77"/>
      <c r="CS5" s="77"/>
      <c r="CT5" s="77"/>
      <c r="CU5" s="77"/>
      <c r="CV5" s="77"/>
      <c r="CW5" s="77"/>
      <c r="CX5" s="77"/>
      <c r="CY5" s="77"/>
      <c r="CZ5" s="77"/>
      <c r="DA5" s="77"/>
      <c r="DB5" s="77"/>
      <c r="DC5" s="77"/>
      <c r="DD5" s="77"/>
      <c r="DE5" s="77"/>
      <c r="DF5" s="77"/>
      <c r="DG5" s="77"/>
      <c r="DH5" s="77"/>
      <c r="DI5" s="77"/>
      <c r="DJ5" s="77"/>
      <c r="DK5" s="56"/>
      <c r="DL5" s="56"/>
      <c r="DM5" s="56"/>
      <c r="DN5" s="56"/>
      <c r="DO5" s="56"/>
      <c r="DP5" s="56"/>
      <c r="DQ5" s="56"/>
      <c r="DR5" s="56"/>
    </row>
    <row r="6" spans="1:155" ht="29">
      <c r="A6" s="23">
        <v>4</v>
      </c>
      <c r="B6" s="24" t="s">
        <v>194</v>
      </c>
      <c r="C6" s="77"/>
      <c r="D6" s="77"/>
      <c r="E6" s="77" t="s">
        <v>384</v>
      </c>
      <c r="F6" s="77" t="s">
        <v>384</v>
      </c>
      <c r="G6" s="77" t="s">
        <v>384</v>
      </c>
      <c r="H6" s="77"/>
      <c r="I6" s="77"/>
      <c r="J6" s="77"/>
      <c r="K6" s="77" t="s">
        <v>384</v>
      </c>
      <c r="L6" s="77"/>
      <c r="M6" s="77" t="s">
        <v>384</v>
      </c>
      <c r="N6" s="77" t="s">
        <v>384</v>
      </c>
      <c r="O6" s="77"/>
      <c r="P6" s="77"/>
      <c r="Q6" s="77" t="s">
        <v>384</v>
      </c>
      <c r="R6" s="77"/>
      <c r="S6" s="77" t="s">
        <v>384</v>
      </c>
      <c r="T6" s="77" t="s">
        <v>384</v>
      </c>
      <c r="U6" s="77"/>
      <c r="V6" s="77"/>
      <c r="W6" s="77"/>
      <c r="X6" s="77" t="s">
        <v>384</v>
      </c>
      <c r="Y6" s="77"/>
      <c r="Z6" s="77"/>
      <c r="AA6" s="77"/>
      <c r="AB6" s="77"/>
      <c r="AC6" s="77"/>
      <c r="AD6" s="77"/>
      <c r="AE6" s="77" t="s">
        <v>384</v>
      </c>
      <c r="AF6" s="77" t="s">
        <v>384</v>
      </c>
      <c r="AG6" s="77" t="s">
        <v>384</v>
      </c>
      <c r="AH6" s="77"/>
      <c r="AI6" s="77"/>
      <c r="AJ6" s="77" t="s">
        <v>384</v>
      </c>
      <c r="AK6" s="77" t="s">
        <v>385</v>
      </c>
      <c r="AL6" s="77" t="s">
        <v>384</v>
      </c>
      <c r="AM6" s="77" t="s">
        <v>384</v>
      </c>
      <c r="AN6" s="77" t="s">
        <v>384</v>
      </c>
      <c r="AO6" s="77" t="s">
        <v>384</v>
      </c>
      <c r="AP6" s="77" t="s">
        <v>384</v>
      </c>
      <c r="AQ6" s="77" t="s">
        <v>384</v>
      </c>
      <c r="AR6" s="77" t="s">
        <v>385</v>
      </c>
      <c r="AS6" s="77" t="s">
        <v>384</v>
      </c>
      <c r="AT6" s="56"/>
      <c r="AU6" s="77" t="s">
        <v>384</v>
      </c>
      <c r="AV6" s="77" t="s">
        <v>384</v>
      </c>
      <c r="AW6" s="77"/>
      <c r="AX6" s="77" t="s">
        <v>384</v>
      </c>
      <c r="AY6" s="77" t="s">
        <v>384</v>
      </c>
      <c r="AZ6" s="77" t="s">
        <v>384</v>
      </c>
      <c r="BA6" s="77" t="s">
        <v>384</v>
      </c>
      <c r="BB6" s="77" t="s">
        <v>384</v>
      </c>
      <c r="BC6" s="77"/>
      <c r="BD6" s="77"/>
      <c r="BE6" s="77"/>
      <c r="BF6" s="77"/>
      <c r="BG6" s="77"/>
      <c r="BH6" s="77"/>
      <c r="BI6" s="77"/>
      <c r="BJ6" s="77"/>
      <c r="BK6" s="77"/>
      <c r="BL6" s="77" t="s">
        <v>384</v>
      </c>
      <c r="BM6" s="77" t="s">
        <v>384</v>
      </c>
      <c r="BN6" s="77" t="s">
        <v>384</v>
      </c>
      <c r="BO6" s="77"/>
      <c r="BP6" s="77"/>
      <c r="BQ6" s="77"/>
      <c r="BR6" s="77"/>
      <c r="BS6" s="77"/>
      <c r="BT6" s="77"/>
      <c r="BU6" s="77"/>
      <c r="BV6" s="77" t="s">
        <v>384</v>
      </c>
      <c r="BW6" s="77"/>
      <c r="BX6" s="77"/>
      <c r="BY6" s="77"/>
      <c r="BZ6" s="78" t="s">
        <v>401</v>
      </c>
      <c r="CA6" s="77" t="s">
        <v>384</v>
      </c>
      <c r="CB6" s="77" t="s">
        <v>384</v>
      </c>
      <c r="CC6" s="77"/>
      <c r="CD6" s="77"/>
      <c r="CE6" s="77"/>
      <c r="CF6" s="77"/>
      <c r="CG6" s="77"/>
      <c r="CH6" s="77"/>
      <c r="CI6" s="77"/>
      <c r="CJ6" s="77"/>
      <c r="CK6" s="77"/>
      <c r="CL6" s="77"/>
      <c r="CM6" s="77"/>
      <c r="CN6" s="77"/>
      <c r="CO6" s="77"/>
      <c r="CP6" s="77"/>
      <c r="CQ6" s="77"/>
      <c r="CR6" s="77"/>
      <c r="CS6" s="77"/>
      <c r="CT6" s="77"/>
      <c r="CU6" s="77"/>
      <c r="CV6" s="77"/>
      <c r="CW6" s="77"/>
      <c r="CX6" s="77"/>
      <c r="CY6" s="77"/>
      <c r="CZ6" s="77"/>
      <c r="DA6" s="77"/>
      <c r="DB6" s="77"/>
      <c r="DC6" s="77"/>
      <c r="DD6" s="77"/>
      <c r="DE6" s="77"/>
      <c r="DF6" s="77"/>
      <c r="DG6" s="77"/>
      <c r="DH6" s="77"/>
      <c r="DI6" s="77"/>
      <c r="DJ6" s="77"/>
      <c r="DK6" s="56"/>
      <c r="DL6" s="56"/>
      <c r="DM6" s="56"/>
      <c r="DN6" s="56"/>
      <c r="DO6" s="56"/>
      <c r="DP6" s="56"/>
      <c r="DQ6" s="56"/>
      <c r="DR6" s="56"/>
    </row>
    <row r="7" spans="1:155" ht="43.5">
      <c r="A7" s="23">
        <v>5</v>
      </c>
      <c r="B7" s="24" t="s">
        <v>195</v>
      </c>
      <c r="C7" s="77"/>
      <c r="D7" s="77"/>
      <c r="E7" s="77" t="s">
        <v>384</v>
      </c>
      <c r="F7" s="77" t="s">
        <v>384</v>
      </c>
      <c r="G7" s="77" t="s">
        <v>384</v>
      </c>
      <c r="H7" s="77"/>
      <c r="I7" s="77"/>
      <c r="J7" s="77"/>
      <c r="K7" s="77" t="s">
        <v>384</v>
      </c>
      <c r="L7" s="77"/>
      <c r="M7" s="77" t="s">
        <v>384</v>
      </c>
      <c r="N7" s="77" t="s">
        <v>384</v>
      </c>
      <c r="O7" s="77"/>
      <c r="P7" s="77"/>
      <c r="Q7" s="77" t="s">
        <v>384</v>
      </c>
      <c r="R7" s="77"/>
      <c r="S7" s="77" t="s">
        <v>384</v>
      </c>
      <c r="T7" s="77" t="s">
        <v>384</v>
      </c>
      <c r="U7" s="77"/>
      <c r="V7" s="77"/>
      <c r="W7" s="77"/>
      <c r="X7" s="77" t="s">
        <v>385</v>
      </c>
      <c r="Y7" s="77"/>
      <c r="Z7" s="77"/>
      <c r="AA7" s="77"/>
      <c r="AB7" s="77"/>
      <c r="AC7" s="77"/>
      <c r="AD7" s="77"/>
      <c r="AE7" s="77" t="s">
        <v>385</v>
      </c>
      <c r="AF7" s="77" t="s">
        <v>385</v>
      </c>
      <c r="AG7" s="77" t="s">
        <v>385</v>
      </c>
      <c r="AH7" s="77"/>
      <c r="AI7" s="77"/>
      <c r="AJ7" s="77" t="s">
        <v>385</v>
      </c>
      <c r="AK7" s="78" t="s">
        <v>401</v>
      </c>
      <c r="AL7" s="78" t="s">
        <v>401</v>
      </c>
      <c r="AM7" s="77" t="s">
        <v>385</v>
      </c>
      <c r="AN7" s="77" t="s">
        <v>385</v>
      </c>
      <c r="AO7" s="77" t="s">
        <v>385</v>
      </c>
      <c r="AP7" s="78" t="s">
        <v>401</v>
      </c>
      <c r="AQ7" s="77" t="s">
        <v>385</v>
      </c>
      <c r="AR7" s="77" t="s">
        <v>385</v>
      </c>
      <c r="AS7" s="77" t="s">
        <v>385</v>
      </c>
      <c r="AT7" s="56"/>
      <c r="AU7" s="77" t="s">
        <v>385</v>
      </c>
      <c r="AV7" s="77" t="s">
        <v>385</v>
      </c>
      <c r="AW7" s="77"/>
      <c r="AX7" s="77" t="s">
        <v>384</v>
      </c>
      <c r="AY7" s="77" t="s">
        <v>384</v>
      </c>
      <c r="AZ7" s="77" t="s">
        <v>385</v>
      </c>
      <c r="BA7" s="77" t="s">
        <v>384</v>
      </c>
      <c r="BB7" s="77" t="s">
        <v>385</v>
      </c>
      <c r="BC7" s="77"/>
      <c r="BD7" s="77"/>
      <c r="BE7" s="77"/>
      <c r="BF7" s="77"/>
      <c r="BG7" s="77"/>
      <c r="BH7" s="77"/>
      <c r="BI7" s="77"/>
      <c r="BJ7" s="77"/>
      <c r="BK7" s="77"/>
      <c r="BL7" s="77" t="s">
        <v>384</v>
      </c>
      <c r="BM7" s="77" t="s">
        <v>385</v>
      </c>
      <c r="BN7" s="77" t="s">
        <v>385</v>
      </c>
      <c r="BO7" s="77"/>
      <c r="BP7" s="77"/>
      <c r="BQ7" s="77"/>
      <c r="BR7" s="77"/>
      <c r="BS7" s="77"/>
      <c r="BT7" s="77"/>
      <c r="BU7" s="77"/>
      <c r="BV7" s="77" t="s">
        <v>385</v>
      </c>
      <c r="BW7" s="77"/>
      <c r="BX7" s="77"/>
      <c r="BY7" s="77"/>
      <c r="BZ7" s="78" t="s">
        <v>401</v>
      </c>
      <c r="CA7" s="77" t="s">
        <v>385</v>
      </c>
      <c r="CB7" s="77" t="s">
        <v>385</v>
      </c>
      <c r="CC7" s="77"/>
      <c r="CD7" s="77"/>
      <c r="CE7" s="77"/>
      <c r="CF7" s="77"/>
      <c r="CG7" s="77"/>
      <c r="CH7" s="77"/>
      <c r="CI7" s="77"/>
      <c r="CJ7" s="77"/>
      <c r="CK7" s="77"/>
      <c r="CL7" s="77"/>
      <c r="CM7" s="77"/>
      <c r="CN7" s="77"/>
      <c r="CO7" s="77"/>
      <c r="CP7" s="77"/>
      <c r="CQ7" s="77"/>
      <c r="CR7" s="77"/>
      <c r="CS7" s="77"/>
      <c r="CT7" s="77"/>
      <c r="CU7" s="77"/>
      <c r="CV7" s="77"/>
      <c r="CW7" s="77"/>
      <c r="CX7" s="77"/>
      <c r="CY7" s="77"/>
      <c r="CZ7" s="77"/>
      <c r="DA7" s="77"/>
      <c r="DB7" s="77"/>
      <c r="DC7" s="77"/>
      <c r="DD7" s="77"/>
      <c r="DE7" s="77"/>
      <c r="DF7" s="77"/>
      <c r="DG7" s="77"/>
      <c r="DH7" s="77"/>
      <c r="DI7" s="77"/>
      <c r="DJ7" s="77"/>
      <c r="DK7" s="56"/>
      <c r="DL7" s="56"/>
      <c r="DM7" s="56"/>
      <c r="DN7" s="56"/>
      <c r="DO7" s="56"/>
      <c r="DP7" s="56"/>
      <c r="DQ7" s="56"/>
      <c r="DR7" s="56"/>
    </row>
    <row r="8" spans="1:155" ht="29">
      <c r="A8" s="23">
        <v>6</v>
      </c>
      <c r="B8" s="24" t="s">
        <v>196</v>
      </c>
      <c r="C8" s="77"/>
      <c r="D8" s="77"/>
      <c r="E8" s="78" t="s">
        <v>401</v>
      </c>
      <c r="F8" s="78" t="s">
        <v>401</v>
      </c>
      <c r="G8" s="78" t="s">
        <v>401</v>
      </c>
      <c r="H8" s="77"/>
      <c r="I8" s="77"/>
      <c r="J8" s="77"/>
      <c r="K8" s="78" t="s">
        <v>401</v>
      </c>
      <c r="L8" s="77"/>
      <c r="M8" s="78" t="s">
        <v>401</v>
      </c>
      <c r="N8" s="78" t="s">
        <v>401</v>
      </c>
      <c r="O8" s="77"/>
      <c r="P8" s="77"/>
      <c r="Q8" s="78" t="s">
        <v>401</v>
      </c>
      <c r="R8" s="77"/>
      <c r="S8" s="78" t="s">
        <v>401</v>
      </c>
      <c r="T8" s="78" t="s">
        <v>401</v>
      </c>
      <c r="U8" s="77"/>
      <c r="V8" s="77"/>
      <c r="W8" s="77"/>
      <c r="X8" s="78" t="s">
        <v>401</v>
      </c>
      <c r="Y8" s="77"/>
      <c r="Z8" s="77"/>
      <c r="AA8" s="77"/>
      <c r="AB8" s="77"/>
      <c r="AC8" s="77"/>
      <c r="AD8" s="77"/>
      <c r="AE8" s="78" t="s">
        <v>401</v>
      </c>
      <c r="AF8" s="78" t="s">
        <v>401</v>
      </c>
      <c r="AG8" s="78" t="s">
        <v>401</v>
      </c>
      <c r="AH8" s="77"/>
      <c r="AI8" s="77"/>
      <c r="AJ8" s="78" t="s">
        <v>401</v>
      </c>
      <c r="AK8" s="78" t="s">
        <v>401</v>
      </c>
      <c r="AL8" s="77" t="s">
        <v>384</v>
      </c>
      <c r="AM8" s="78" t="s">
        <v>401</v>
      </c>
      <c r="AN8" s="78" t="s">
        <v>401</v>
      </c>
      <c r="AO8" s="78" t="s">
        <v>401</v>
      </c>
      <c r="AP8" s="78" t="s">
        <v>401</v>
      </c>
      <c r="AQ8" s="78" t="s">
        <v>401</v>
      </c>
      <c r="AR8" s="78" t="s">
        <v>401</v>
      </c>
      <c r="AS8" s="78" t="s">
        <v>401</v>
      </c>
      <c r="AT8" s="56"/>
      <c r="AU8" s="78" t="s">
        <v>401</v>
      </c>
      <c r="AV8" s="78" t="s">
        <v>401</v>
      </c>
      <c r="AW8" s="77"/>
      <c r="AX8" s="78" t="s">
        <v>401</v>
      </c>
      <c r="AY8" s="78" t="s">
        <v>401</v>
      </c>
      <c r="AZ8" s="78" t="s">
        <v>401</v>
      </c>
      <c r="BA8" s="78" t="s">
        <v>401</v>
      </c>
      <c r="BB8" s="78" t="s">
        <v>401</v>
      </c>
      <c r="BC8" s="77"/>
      <c r="BD8" s="77"/>
      <c r="BE8" s="77"/>
      <c r="BF8" s="77"/>
      <c r="BG8" s="77"/>
      <c r="BH8" s="77"/>
      <c r="BI8" s="77"/>
      <c r="BJ8" s="77"/>
      <c r="BK8" s="77"/>
      <c r="BL8" s="78" t="s">
        <v>401</v>
      </c>
      <c r="BM8" s="78" t="s">
        <v>401</v>
      </c>
      <c r="BN8" s="77" t="s">
        <v>385</v>
      </c>
      <c r="BO8" s="77"/>
      <c r="BP8" s="77"/>
      <c r="BQ8" s="77"/>
      <c r="BR8" s="77"/>
      <c r="BS8" s="77"/>
      <c r="BT8" s="77"/>
      <c r="BU8" s="77"/>
      <c r="BV8" s="78" t="s">
        <v>401</v>
      </c>
      <c r="BW8" s="77"/>
      <c r="BX8" s="77"/>
      <c r="BY8" s="77"/>
      <c r="BZ8" s="78" t="s">
        <v>401</v>
      </c>
      <c r="CA8" s="78" t="s">
        <v>401</v>
      </c>
      <c r="CB8" s="78" t="s">
        <v>401</v>
      </c>
      <c r="CC8" s="77"/>
      <c r="CD8" s="77"/>
      <c r="CE8" s="77"/>
      <c r="CF8" s="77"/>
      <c r="CG8" s="77"/>
      <c r="CH8" s="77"/>
      <c r="CI8" s="77"/>
      <c r="CJ8" s="77"/>
      <c r="CK8" s="77"/>
      <c r="CL8" s="77"/>
      <c r="CM8" s="77"/>
      <c r="CN8" s="77"/>
      <c r="CO8" s="77"/>
      <c r="CP8" s="77"/>
      <c r="CQ8" s="77"/>
      <c r="CR8" s="77"/>
      <c r="CS8" s="77"/>
      <c r="CT8" s="77"/>
      <c r="CU8" s="77"/>
      <c r="CV8" s="77"/>
      <c r="CW8" s="77"/>
      <c r="CX8" s="77"/>
      <c r="CY8" s="77"/>
      <c r="CZ8" s="77"/>
      <c r="DA8" s="77"/>
      <c r="DB8" s="77"/>
      <c r="DC8" s="77"/>
      <c r="DD8" s="77"/>
      <c r="DE8" s="77"/>
      <c r="DF8" s="77"/>
      <c r="DG8" s="77"/>
      <c r="DH8" s="77"/>
      <c r="DI8" s="77"/>
      <c r="DJ8" s="77"/>
      <c r="DK8" s="56"/>
      <c r="DL8" s="56"/>
      <c r="DM8" s="56"/>
      <c r="DN8" s="56"/>
      <c r="DO8" s="56"/>
      <c r="DP8" s="56"/>
      <c r="DQ8" s="56"/>
      <c r="DR8" s="56"/>
    </row>
    <row r="9" spans="1:155" ht="58">
      <c r="A9" s="23">
        <v>7</v>
      </c>
      <c r="B9" s="24" t="s">
        <v>197</v>
      </c>
      <c r="C9" s="77"/>
      <c r="D9" s="77"/>
      <c r="E9" s="77" t="s">
        <v>384</v>
      </c>
      <c r="F9" s="77" t="s">
        <v>384</v>
      </c>
      <c r="G9" s="77" t="s">
        <v>384</v>
      </c>
      <c r="H9" s="77"/>
      <c r="I9" s="77"/>
      <c r="J9" s="77"/>
      <c r="K9" s="77" t="s">
        <v>385</v>
      </c>
      <c r="L9" s="77"/>
      <c r="M9" s="77" t="s">
        <v>384</v>
      </c>
      <c r="N9" s="77" t="s">
        <v>384</v>
      </c>
      <c r="O9" s="77"/>
      <c r="P9" s="77"/>
      <c r="Q9" s="77" t="s">
        <v>384</v>
      </c>
      <c r="R9" s="77"/>
      <c r="S9" s="77" t="s">
        <v>384</v>
      </c>
      <c r="T9" s="77" t="s">
        <v>385</v>
      </c>
      <c r="U9" s="77"/>
      <c r="V9" s="77"/>
      <c r="W9" s="77"/>
      <c r="X9" s="77" t="s">
        <v>385</v>
      </c>
      <c r="Y9" s="77"/>
      <c r="Z9" s="77"/>
      <c r="AA9" s="77"/>
      <c r="AB9" s="77"/>
      <c r="AC9" s="77"/>
      <c r="AD9" s="77"/>
      <c r="AE9" s="77" t="s">
        <v>385</v>
      </c>
      <c r="AF9" s="77" t="s">
        <v>384</v>
      </c>
      <c r="AG9" s="77" t="s">
        <v>384</v>
      </c>
      <c r="AH9" s="77"/>
      <c r="AI9" s="77"/>
      <c r="AJ9" s="77" t="s">
        <v>384</v>
      </c>
      <c r="AK9" s="78" t="s">
        <v>401</v>
      </c>
      <c r="AL9" s="77" t="s">
        <v>385</v>
      </c>
      <c r="AM9" s="78" t="s">
        <v>401</v>
      </c>
      <c r="AN9" s="77" t="s">
        <v>384</v>
      </c>
      <c r="AO9" s="77" t="s">
        <v>385</v>
      </c>
      <c r="AP9" s="78" t="s">
        <v>401</v>
      </c>
      <c r="AQ9" s="77" t="s">
        <v>385</v>
      </c>
      <c r="AR9" s="77" t="s">
        <v>385</v>
      </c>
      <c r="AS9" s="77" t="s">
        <v>385</v>
      </c>
      <c r="AT9" s="56"/>
      <c r="AU9" s="77" t="s">
        <v>384</v>
      </c>
      <c r="AV9" s="77" t="s">
        <v>384</v>
      </c>
      <c r="AW9" s="77"/>
      <c r="AX9" s="77" t="s">
        <v>385</v>
      </c>
      <c r="AY9" s="77" t="s">
        <v>384</v>
      </c>
      <c r="AZ9" s="77" t="s">
        <v>384</v>
      </c>
      <c r="BA9" s="77" t="s">
        <v>384</v>
      </c>
      <c r="BB9" s="77" t="s">
        <v>384</v>
      </c>
      <c r="BC9" s="77"/>
      <c r="BD9" s="77"/>
      <c r="BE9" s="77"/>
      <c r="BF9" s="77"/>
      <c r="BG9" s="77"/>
      <c r="BH9" s="77"/>
      <c r="BI9" s="77"/>
      <c r="BJ9" s="77"/>
      <c r="BK9" s="77"/>
      <c r="BL9" s="77" t="s">
        <v>384</v>
      </c>
      <c r="BM9" s="77" t="s">
        <v>384</v>
      </c>
      <c r="BN9" s="77" t="s">
        <v>384</v>
      </c>
      <c r="BO9" s="77"/>
      <c r="BP9" s="77"/>
      <c r="BQ9" s="77"/>
      <c r="BR9" s="77"/>
      <c r="BS9" s="77"/>
      <c r="BT9" s="77"/>
      <c r="BU9" s="77"/>
      <c r="BV9" s="77" t="s">
        <v>384</v>
      </c>
      <c r="BW9" s="77"/>
      <c r="BX9" s="77"/>
      <c r="BY9" s="77"/>
      <c r="BZ9" s="78" t="s">
        <v>401</v>
      </c>
      <c r="CA9" s="77" t="s">
        <v>385</v>
      </c>
      <c r="CB9" s="77" t="s">
        <v>385</v>
      </c>
      <c r="CC9" s="77"/>
      <c r="CD9" s="77"/>
      <c r="CE9" s="77"/>
      <c r="CF9" s="77"/>
      <c r="CG9" s="77"/>
      <c r="CH9" s="77"/>
      <c r="CI9" s="77"/>
      <c r="CJ9" s="77"/>
      <c r="CK9" s="77"/>
      <c r="CL9" s="77"/>
      <c r="CM9" s="77"/>
      <c r="CN9" s="77"/>
      <c r="CO9" s="77"/>
      <c r="CP9" s="77"/>
      <c r="CQ9" s="77"/>
      <c r="CR9" s="77"/>
      <c r="CS9" s="77"/>
      <c r="CT9" s="77"/>
      <c r="CU9" s="77"/>
      <c r="CV9" s="77"/>
      <c r="CW9" s="77"/>
      <c r="CX9" s="77"/>
      <c r="CY9" s="77"/>
      <c r="CZ9" s="77"/>
      <c r="DA9" s="77"/>
      <c r="DB9" s="77"/>
      <c r="DC9" s="77"/>
      <c r="DD9" s="77"/>
      <c r="DE9" s="77"/>
      <c r="DF9" s="77"/>
      <c r="DG9" s="77"/>
      <c r="DH9" s="77"/>
      <c r="DI9" s="77"/>
      <c r="DJ9" s="77"/>
      <c r="DK9" s="56"/>
      <c r="DL9" s="56"/>
      <c r="DM9" s="56"/>
      <c r="DN9" s="56"/>
      <c r="DO9" s="56"/>
      <c r="DP9" s="56"/>
      <c r="DQ9" s="56"/>
      <c r="DR9" s="56"/>
    </row>
    <row r="10" spans="1:155" ht="58">
      <c r="A10" s="23">
        <v>8</v>
      </c>
      <c r="B10" s="24" t="s">
        <v>198</v>
      </c>
      <c r="C10" s="77"/>
      <c r="D10" s="77"/>
      <c r="E10" s="77" t="s">
        <v>384</v>
      </c>
      <c r="F10" s="77" t="s">
        <v>385</v>
      </c>
      <c r="G10" s="77" t="s">
        <v>384</v>
      </c>
      <c r="H10" s="77"/>
      <c r="I10" s="77"/>
      <c r="J10" s="77"/>
      <c r="K10" s="77" t="s">
        <v>384</v>
      </c>
      <c r="L10" s="77"/>
      <c r="M10" s="77" t="s">
        <v>384</v>
      </c>
      <c r="N10" s="77" t="s">
        <v>384</v>
      </c>
      <c r="O10" s="77"/>
      <c r="P10" s="77"/>
      <c r="Q10" s="77" t="s">
        <v>384</v>
      </c>
      <c r="R10" s="77"/>
      <c r="S10" s="77" t="s">
        <v>384</v>
      </c>
      <c r="T10" s="77" t="s">
        <v>385</v>
      </c>
      <c r="U10" s="77"/>
      <c r="V10" s="77"/>
      <c r="W10" s="77"/>
      <c r="X10" s="77" t="s">
        <v>384</v>
      </c>
      <c r="Y10" s="77"/>
      <c r="Z10" s="77"/>
      <c r="AA10" s="77"/>
      <c r="AB10" s="77"/>
      <c r="AC10" s="77"/>
      <c r="AD10" s="77"/>
      <c r="AE10" s="77" t="s">
        <v>384</v>
      </c>
      <c r="AF10" s="77" t="s">
        <v>384</v>
      </c>
      <c r="AG10" s="77" t="s">
        <v>384</v>
      </c>
      <c r="AH10" s="77"/>
      <c r="AI10" s="77"/>
      <c r="AJ10" s="77" t="s">
        <v>385</v>
      </c>
      <c r="AK10" s="78" t="s">
        <v>401</v>
      </c>
      <c r="AL10" s="77" t="s">
        <v>385</v>
      </c>
      <c r="AM10" s="78" t="s">
        <v>401</v>
      </c>
      <c r="AN10" s="77" t="s">
        <v>384</v>
      </c>
      <c r="AO10" s="77" t="s">
        <v>384</v>
      </c>
      <c r="AP10" s="78" t="s">
        <v>401</v>
      </c>
      <c r="AQ10" s="77" t="s">
        <v>385</v>
      </c>
      <c r="AR10" s="77" t="s">
        <v>385</v>
      </c>
      <c r="AS10" s="77" t="s">
        <v>384</v>
      </c>
      <c r="AT10" s="56"/>
      <c r="AU10" s="77" t="s">
        <v>384</v>
      </c>
      <c r="AV10" s="77" t="s">
        <v>384</v>
      </c>
      <c r="AW10" s="77"/>
      <c r="AX10" s="78" t="s">
        <v>401</v>
      </c>
      <c r="AY10" s="77" t="s">
        <v>385</v>
      </c>
      <c r="AZ10" s="78" t="s">
        <v>401</v>
      </c>
      <c r="BA10" s="77" t="s">
        <v>384</v>
      </c>
      <c r="BB10" s="77" t="s">
        <v>384</v>
      </c>
      <c r="BC10" s="77"/>
      <c r="BD10" s="77"/>
      <c r="BE10" s="77"/>
      <c r="BF10" s="77"/>
      <c r="BG10" s="77"/>
      <c r="BH10" s="77"/>
      <c r="BI10" s="77"/>
      <c r="BJ10" s="77"/>
      <c r="BK10" s="77"/>
      <c r="BL10" s="77" t="s">
        <v>384</v>
      </c>
      <c r="BM10" s="77" t="s">
        <v>384</v>
      </c>
      <c r="BN10" s="77" t="s">
        <v>384</v>
      </c>
      <c r="BO10" s="77"/>
      <c r="BP10" s="77"/>
      <c r="BQ10" s="77"/>
      <c r="BR10" s="77"/>
      <c r="BS10" s="77"/>
      <c r="BT10" s="77"/>
      <c r="BU10" s="77"/>
      <c r="BV10" s="77" t="s">
        <v>384</v>
      </c>
      <c r="BW10" s="77"/>
      <c r="BX10" s="77"/>
      <c r="BY10" s="77"/>
      <c r="BZ10" s="78" t="s">
        <v>401</v>
      </c>
      <c r="CA10" s="78" t="s">
        <v>401</v>
      </c>
      <c r="CB10" s="77" t="s">
        <v>385</v>
      </c>
      <c r="CC10" s="77"/>
      <c r="CD10" s="77"/>
      <c r="CE10" s="77"/>
      <c r="CF10" s="77"/>
      <c r="CG10" s="77"/>
      <c r="CH10" s="77"/>
      <c r="CI10" s="77"/>
      <c r="CJ10" s="77"/>
      <c r="CK10" s="77"/>
      <c r="CL10" s="77"/>
      <c r="CM10" s="77"/>
      <c r="CN10" s="77"/>
      <c r="CO10" s="77"/>
      <c r="CP10" s="77"/>
      <c r="CQ10" s="77"/>
      <c r="CR10" s="77"/>
      <c r="CS10" s="77"/>
      <c r="CT10" s="77"/>
      <c r="CU10" s="78"/>
      <c r="CV10" s="77"/>
      <c r="CW10" s="77"/>
      <c r="CX10" s="77"/>
      <c r="CY10" s="77"/>
      <c r="CZ10" s="77"/>
      <c r="DA10" s="77"/>
      <c r="DB10" s="77"/>
      <c r="DC10" s="77"/>
      <c r="DD10" s="77"/>
      <c r="DE10" s="77"/>
      <c r="DF10" s="77"/>
      <c r="DG10" s="77"/>
      <c r="DH10" s="77"/>
      <c r="DI10" s="77"/>
      <c r="DJ10" s="77"/>
      <c r="DK10" s="56"/>
      <c r="DL10" s="56"/>
      <c r="DM10" s="56"/>
      <c r="DN10" s="56"/>
      <c r="DO10" s="56"/>
      <c r="DP10" s="56"/>
      <c r="DQ10" s="56"/>
      <c r="DR10" s="56"/>
    </row>
    <row r="11" spans="1:155" ht="58">
      <c r="A11" s="23">
        <v>9</v>
      </c>
      <c r="B11" s="24" t="s">
        <v>199</v>
      </c>
      <c r="C11" s="77"/>
      <c r="D11" s="77"/>
      <c r="E11" s="77" t="s">
        <v>384</v>
      </c>
      <c r="F11" s="77" t="s">
        <v>385</v>
      </c>
      <c r="G11" s="77" t="s">
        <v>384</v>
      </c>
      <c r="H11" s="77"/>
      <c r="I11" s="77"/>
      <c r="J11" s="77"/>
      <c r="K11" s="77" t="s">
        <v>385</v>
      </c>
      <c r="L11" s="77"/>
      <c r="M11" s="77" t="s">
        <v>384</v>
      </c>
      <c r="N11" s="77" t="s">
        <v>384</v>
      </c>
      <c r="O11" s="77"/>
      <c r="P11" s="77"/>
      <c r="Q11" s="77" t="s">
        <v>384</v>
      </c>
      <c r="R11" s="77"/>
      <c r="S11" s="77" t="s">
        <v>385</v>
      </c>
      <c r="T11" s="77" t="s">
        <v>385</v>
      </c>
      <c r="U11" s="77"/>
      <c r="V11" s="77"/>
      <c r="W11" s="77"/>
      <c r="X11" s="77" t="s">
        <v>385</v>
      </c>
      <c r="Y11" s="77"/>
      <c r="Z11" s="77"/>
      <c r="AA11" s="77"/>
      <c r="AB11" s="77"/>
      <c r="AC11" s="77"/>
      <c r="AD11" s="77"/>
      <c r="AE11" s="77" t="s">
        <v>384</v>
      </c>
      <c r="AF11" s="77" t="s">
        <v>384</v>
      </c>
      <c r="AG11" s="77" t="s">
        <v>384</v>
      </c>
      <c r="AH11" s="77"/>
      <c r="AI11" s="77"/>
      <c r="AJ11" s="77" t="s">
        <v>384</v>
      </c>
      <c r="AK11" s="78" t="s">
        <v>401</v>
      </c>
      <c r="AL11" s="77" t="s">
        <v>385</v>
      </c>
      <c r="AM11" s="78" t="s">
        <v>401</v>
      </c>
      <c r="AN11" s="77" t="s">
        <v>384</v>
      </c>
      <c r="AO11" s="77" t="s">
        <v>384</v>
      </c>
      <c r="AP11" s="78" t="s">
        <v>401</v>
      </c>
      <c r="AQ11" s="77" t="s">
        <v>385</v>
      </c>
      <c r="AR11" s="77" t="s">
        <v>385</v>
      </c>
      <c r="AS11" s="77" t="s">
        <v>385</v>
      </c>
      <c r="AT11" s="56"/>
      <c r="AU11" s="77" t="s">
        <v>384</v>
      </c>
      <c r="AV11" s="77" t="s">
        <v>384</v>
      </c>
      <c r="AW11" s="77"/>
      <c r="AX11" s="77" t="s">
        <v>385</v>
      </c>
      <c r="AY11" s="77" t="s">
        <v>384</v>
      </c>
      <c r="AZ11" s="78" t="s">
        <v>401</v>
      </c>
      <c r="BA11" s="77" t="s">
        <v>384</v>
      </c>
      <c r="BB11" s="77" t="s">
        <v>384</v>
      </c>
      <c r="BC11" s="77"/>
      <c r="BD11" s="77"/>
      <c r="BE11" s="77"/>
      <c r="BF11" s="77"/>
      <c r="BG11" s="77"/>
      <c r="BH11" s="77"/>
      <c r="BI11" s="77"/>
      <c r="BJ11" s="77"/>
      <c r="BK11" s="77"/>
      <c r="BL11" s="77" t="s">
        <v>384</v>
      </c>
      <c r="BM11" s="77" t="s">
        <v>384</v>
      </c>
      <c r="BN11" s="77" t="s">
        <v>384</v>
      </c>
      <c r="BO11" s="77"/>
      <c r="BP11" s="77"/>
      <c r="BQ11" s="77"/>
      <c r="BR11" s="77"/>
      <c r="BS11" s="77"/>
      <c r="BT11" s="77"/>
      <c r="BU11" s="77"/>
      <c r="BV11" s="77" t="s">
        <v>384</v>
      </c>
      <c r="BW11" s="77"/>
      <c r="BX11" s="77"/>
      <c r="BY11" s="77"/>
      <c r="BZ11" s="78" t="s">
        <v>401</v>
      </c>
      <c r="CA11" s="78" t="s">
        <v>401</v>
      </c>
      <c r="CB11" s="77" t="s">
        <v>385</v>
      </c>
      <c r="CC11" s="77"/>
      <c r="CD11" s="77"/>
      <c r="CE11" s="77"/>
      <c r="CF11" s="77"/>
      <c r="CG11" s="77"/>
      <c r="CH11" s="77"/>
      <c r="CI11" s="77"/>
      <c r="CJ11" s="77"/>
      <c r="CK11" s="77"/>
      <c r="CL11" s="77"/>
      <c r="CM11" s="77"/>
      <c r="CN11" s="77"/>
      <c r="CO11" s="77"/>
      <c r="CP11" s="77"/>
      <c r="CQ11" s="77"/>
      <c r="CR11" s="77"/>
      <c r="CS11" s="77"/>
      <c r="CT11" s="77"/>
      <c r="CU11" s="77"/>
      <c r="CV11" s="77"/>
      <c r="CW11" s="77"/>
      <c r="CX11" s="77"/>
      <c r="CY11" s="77"/>
      <c r="CZ11" s="77"/>
      <c r="DA11" s="77"/>
      <c r="DB11" s="77"/>
      <c r="DC11" s="77"/>
      <c r="DD11" s="77"/>
      <c r="DE11" s="77"/>
      <c r="DF11" s="77"/>
      <c r="DG11" s="77"/>
      <c r="DH11" s="77"/>
      <c r="DI11" s="77"/>
      <c r="DJ11" s="77"/>
      <c r="DK11" s="56"/>
      <c r="DL11" s="56"/>
      <c r="DM11" s="56"/>
      <c r="DN11" s="56"/>
      <c r="DO11" s="56"/>
      <c r="DP11" s="56"/>
      <c r="DQ11" s="56"/>
      <c r="DR11" s="56"/>
    </row>
    <row r="12" spans="1:155" ht="58">
      <c r="A12" s="23">
        <v>10</v>
      </c>
      <c r="B12" s="24" t="s">
        <v>200</v>
      </c>
      <c r="C12" s="77"/>
      <c r="D12" s="77"/>
      <c r="E12" s="77" t="s">
        <v>384</v>
      </c>
      <c r="F12" s="78" t="s">
        <v>401</v>
      </c>
      <c r="G12" s="77" t="s">
        <v>384</v>
      </c>
      <c r="H12" s="77"/>
      <c r="I12" s="77"/>
      <c r="J12" s="77"/>
      <c r="K12" s="77" t="s">
        <v>384</v>
      </c>
      <c r="L12" s="77"/>
      <c r="M12" s="77" t="s">
        <v>384</v>
      </c>
      <c r="N12" s="77" t="s">
        <v>384</v>
      </c>
      <c r="O12" s="77"/>
      <c r="P12" s="77"/>
      <c r="Q12" s="77" t="s">
        <v>384</v>
      </c>
      <c r="R12" s="77"/>
      <c r="S12" s="77" t="s">
        <v>385</v>
      </c>
      <c r="T12" s="77" t="s">
        <v>385</v>
      </c>
      <c r="U12" s="77"/>
      <c r="V12" s="77"/>
      <c r="W12" s="77"/>
      <c r="X12" s="77" t="s">
        <v>384</v>
      </c>
      <c r="Y12" s="77"/>
      <c r="Z12" s="77"/>
      <c r="AA12" s="77"/>
      <c r="AB12" s="77"/>
      <c r="AC12" s="77"/>
      <c r="AD12" s="77"/>
      <c r="AE12" s="77" t="s">
        <v>384</v>
      </c>
      <c r="AF12" s="77" t="s">
        <v>384</v>
      </c>
      <c r="AG12" s="77" t="s">
        <v>384</v>
      </c>
      <c r="AH12" s="77"/>
      <c r="AI12" s="77"/>
      <c r="AJ12" s="77" t="s">
        <v>384</v>
      </c>
      <c r="AK12" s="78" t="s">
        <v>401</v>
      </c>
      <c r="AL12" s="77" t="s">
        <v>385</v>
      </c>
      <c r="AM12" s="78" t="s">
        <v>401</v>
      </c>
      <c r="AN12" s="77" t="s">
        <v>385</v>
      </c>
      <c r="AO12" s="77" t="s">
        <v>384</v>
      </c>
      <c r="AP12" s="78" t="s">
        <v>401</v>
      </c>
      <c r="AQ12" s="77" t="s">
        <v>385</v>
      </c>
      <c r="AR12" s="77" t="s">
        <v>385</v>
      </c>
      <c r="AS12" s="77" t="s">
        <v>384</v>
      </c>
      <c r="AT12" s="56"/>
      <c r="AU12" s="77" t="s">
        <v>384</v>
      </c>
      <c r="AV12" s="77" t="s">
        <v>384</v>
      </c>
      <c r="AW12" s="77"/>
      <c r="AX12" s="77" t="s">
        <v>385</v>
      </c>
      <c r="AY12" s="77" t="s">
        <v>384</v>
      </c>
      <c r="AZ12" s="77" t="s">
        <v>384</v>
      </c>
      <c r="BA12" s="77" t="s">
        <v>384</v>
      </c>
      <c r="BB12" s="77" t="s">
        <v>384</v>
      </c>
      <c r="BC12" s="77"/>
      <c r="BD12" s="77"/>
      <c r="BE12" s="77"/>
      <c r="BF12" s="77"/>
      <c r="BG12" s="77"/>
      <c r="BH12" s="77"/>
      <c r="BI12" s="77"/>
      <c r="BJ12" s="77"/>
      <c r="BK12" s="77"/>
      <c r="BL12" s="77" t="s">
        <v>384</v>
      </c>
      <c r="BM12" s="77" t="s">
        <v>384</v>
      </c>
      <c r="BN12" s="77" t="s">
        <v>384</v>
      </c>
      <c r="BO12" s="77"/>
      <c r="BP12" s="77"/>
      <c r="BQ12" s="77"/>
      <c r="BR12" s="77"/>
      <c r="BS12" s="77"/>
      <c r="BT12" s="77"/>
      <c r="BU12" s="77"/>
      <c r="BV12" s="77" t="s">
        <v>384</v>
      </c>
      <c r="BW12" s="77"/>
      <c r="BX12" s="77"/>
      <c r="BY12" s="77"/>
      <c r="BZ12" s="78" t="s">
        <v>401</v>
      </c>
      <c r="CA12" s="78" t="s">
        <v>401</v>
      </c>
      <c r="CB12" s="77" t="s">
        <v>385</v>
      </c>
      <c r="CC12" s="77"/>
      <c r="CD12" s="77"/>
      <c r="CE12" s="77"/>
      <c r="CF12" s="77"/>
      <c r="CG12" s="77"/>
      <c r="CH12" s="77"/>
      <c r="CI12" s="77"/>
      <c r="CJ12" s="77"/>
      <c r="CK12" s="77"/>
      <c r="CL12" s="77"/>
      <c r="CM12" s="77"/>
      <c r="CN12" s="77"/>
      <c r="CO12" s="77"/>
      <c r="CP12" s="77"/>
      <c r="CQ12" s="77"/>
      <c r="CR12" s="77"/>
      <c r="CS12" s="77"/>
      <c r="CT12" s="77"/>
      <c r="CU12" s="78"/>
      <c r="CV12" s="77"/>
      <c r="CW12" s="77"/>
      <c r="CX12" s="77"/>
      <c r="CY12" s="77"/>
      <c r="CZ12" s="77"/>
      <c r="DA12" s="77"/>
      <c r="DB12" s="77"/>
      <c r="DC12" s="77"/>
      <c r="DD12" s="77"/>
      <c r="DE12" s="77"/>
      <c r="DF12" s="77"/>
      <c r="DG12" s="77"/>
      <c r="DH12" s="77"/>
      <c r="DI12" s="77"/>
      <c r="DJ12" s="77"/>
      <c r="DK12" s="56"/>
      <c r="DL12" s="56"/>
      <c r="DM12" s="56"/>
      <c r="DN12" s="56"/>
      <c r="DO12" s="56"/>
      <c r="DP12" s="56"/>
      <c r="DQ12" s="56"/>
      <c r="DR12" s="56"/>
    </row>
    <row r="13" spans="1:155" s="19" customFormat="1">
      <c r="A13" s="25">
        <v>11</v>
      </c>
      <c r="B13" s="22" t="s">
        <v>201</v>
      </c>
      <c r="C13" s="79"/>
      <c r="D13" s="79"/>
      <c r="E13" s="79" t="s">
        <v>388</v>
      </c>
      <c r="F13" s="80" t="s">
        <v>387</v>
      </c>
      <c r="G13" s="79" t="s">
        <v>386</v>
      </c>
      <c r="H13" s="79"/>
      <c r="I13" s="79"/>
      <c r="J13" s="79"/>
      <c r="K13" s="79" t="s">
        <v>386</v>
      </c>
      <c r="L13" s="79"/>
      <c r="M13" s="80" t="s">
        <v>387</v>
      </c>
      <c r="N13" s="79" t="s">
        <v>388</v>
      </c>
      <c r="O13" s="79"/>
      <c r="P13" s="79"/>
      <c r="Q13" s="79" t="s">
        <v>386</v>
      </c>
      <c r="R13" s="79"/>
      <c r="S13" s="79" t="s">
        <v>388</v>
      </c>
      <c r="T13" s="80" t="s">
        <v>387</v>
      </c>
      <c r="U13" s="79"/>
      <c r="V13" s="79"/>
      <c r="W13" s="79"/>
      <c r="X13" s="79" t="s">
        <v>388</v>
      </c>
      <c r="Y13" s="79"/>
      <c r="Z13" s="79"/>
      <c r="AA13" s="79"/>
      <c r="AB13" s="79"/>
      <c r="AC13" s="79"/>
      <c r="AD13" s="79"/>
      <c r="AE13" s="79" t="s">
        <v>388</v>
      </c>
      <c r="AF13" s="79" t="s">
        <v>386</v>
      </c>
      <c r="AG13" s="79" t="s">
        <v>386</v>
      </c>
      <c r="AH13" s="79"/>
      <c r="AI13" s="79"/>
      <c r="AJ13" s="79" t="s">
        <v>388</v>
      </c>
      <c r="AK13" s="80" t="s">
        <v>387</v>
      </c>
      <c r="AL13" s="80" t="s">
        <v>387</v>
      </c>
      <c r="AM13" s="80" t="s">
        <v>387</v>
      </c>
      <c r="AN13" s="102" t="s">
        <v>387</v>
      </c>
      <c r="AO13" s="79" t="s">
        <v>388</v>
      </c>
      <c r="AP13" s="80" t="s">
        <v>387</v>
      </c>
      <c r="AQ13" s="79" t="s">
        <v>388</v>
      </c>
      <c r="AR13" s="80" t="s">
        <v>387</v>
      </c>
      <c r="AS13" s="79" t="s">
        <v>388</v>
      </c>
      <c r="AT13" s="81"/>
      <c r="AU13" s="79" t="s">
        <v>386</v>
      </c>
      <c r="AV13" s="79" t="s">
        <v>386</v>
      </c>
      <c r="AW13" s="79"/>
      <c r="AX13" s="80" t="s">
        <v>387</v>
      </c>
      <c r="AY13" s="79" t="s">
        <v>388</v>
      </c>
      <c r="AZ13" s="80" t="s">
        <v>387</v>
      </c>
      <c r="BA13" s="79" t="s">
        <v>388</v>
      </c>
      <c r="BB13" s="79" t="s">
        <v>386</v>
      </c>
      <c r="BC13" s="79"/>
      <c r="BD13" s="79"/>
      <c r="BE13" s="79"/>
      <c r="BF13" s="79"/>
      <c r="BG13" s="79"/>
      <c r="BH13" s="79"/>
      <c r="BI13" s="79"/>
      <c r="BJ13" s="79"/>
      <c r="BK13" s="79"/>
      <c r="BL13" s="79" t="s">
        <v>386</v>
      </c>
      <c r="BM13" s="80" t="s">
        <v>387</v>
      </c>
      <c r="BN13" s="79" t="s">
        <v>388</v>
      </c>
      <c r="BO13" s="79"/>
      <c r="BP13" s="79"/>
      <c r="BQ13" s="79"/>
      <c r="BR13" s="79"/>
      <c r="BS13" s="79"/>
      <c r="BT13" s="79"/>
      <c r="BU13" s="79"/>
      <c r="BV13" s="80" t="s">
        <v>387</v>
      </c>
      <c r="BW13" s="79"/>
      <c r="BX13" s="79"/>
      <c r="BY13" s="79"/>
      <c r="BZ13" s="80" t="s">
        <v>387</v>
      </c>
      <c r="CA13" s="80" t="s">
        <v>387</v>
      </c>
      <c r="CB13" s="79" t="s">
        <v>388</v>
      </c>
      <c r="CC13" s="79"/>
      <c r="CD13" s="79"/>
      <c r="CE13" s="79"/>
      <c r="CF13" s="79"/>
      <c r="CG13" s="79"/>
      <c r="CH13" s="79"/>
      <c r="CI13" s="79"/>
      <c r="CJ13" s="79"/>
      <c r="CK13" s="79"/>
      <c r="CL13" s="79"/>
      <c r="CM13" s="79"/>
      <c r="CN13" s="79"/>
      <c r="CO13" s="79"/>
      <c r="CP13" s="79"/>
      <c r="CQ13" s="80"/>
      <c r="CR13" s="81"/>
      <c r="CS13" s="81"/>
      <c r="CT13" s="81"/>
      <c r="CU13" s="79"/>
      <c r="CV13" s="79"/>
      <c r="CW13" s="81"/>
      <c r="CX13" s="81"/>
      <c r="CY13" s="79"/>
      <c r="CZ13" s="79"/>
      <c r="DA13" s="79"/>
      <c r="DB13" s="79"/>
      <c r="DC13" s="81"/>
      <c r="DD13" s="81"/>
      <c r="DE13" s="81"/>
      <c r="DF13" s="81"/>
      <c r="DG13" s="81"/>
      <c r="DH13" s="81"/>
      <c r="DI13" s="81"/>
      <c r="DJ13" s="81"/>
      <c r="DK13" s="81"/>
      <c r="DL13" s="81"/>
      <c r="DM13" s="81"/>
      <c r="DN13" s="81"/>
      <c r="DO13" s="81"/>
      <c r="DP13" s="81"/>
      <c r="DQ13" s="81"/>
      <c r="DR13" s="81"/>
    </row>
    <row r="14" spans="1:155" ht="159.5">
      <c r="A14" s="23">
        <v>12</v>
      </c>
      <c r="B14" s="26" t="s">
        <v>202</v>
      </c>
      <c r="C14" s="131"/>
      <c r="D14" s="137"/>
      <c r="E14" s="82" t="s">
        <v>430</v>
      </c>
      <c r="F14" s="82" t="s">
        <v>432</v>
      </c>
      <c r="G14" s="131" t="s">
        <v>435</v>
      </c>
      <c r="H14" s="131"/>
      <c r="I14" s="131"/>
      <c r="J14" s="131"/>
      <c r="K14" s="82" t="s">
        <v>436</v>
      </c>
      <c r="L14" s="134"/>
      <c r="M14" s="82" t="s">
        <v>438</v>
      </c>
      <c r="N14" s="82" t="s">
        <v>441</v>
      </c>
      <c r="O14" s="131"/>
      <c r="P14" s="133"/>
      <c r="Q14" s="133" t="s">
        <v>441</v>
      </c>
      <c r="R14" s="131"/>
      <c r="S14" s="82" t="s">
        <v>443</v>
      </c>
      <c r="T14" s="82" t="s">
        <v>447</v>
      </c>
      <c r="U14" s="133"/>
      <c r="V14" s="131"/>
      <c r="W14" s="132"/>
      <c r="X14" s="82" t="s">
        <v>436</v>
      </c>
      <c r="Y14" s="131"/>
      <c r="Z14" s="131"/>
      <c r="AA14" s="131"/>
      <c r="AB14" s="131"/>
      <c r="AC14" s="131"/>
      <c r="AD14" s="131"/>
      <c r="AE14" s="82" t="s">
        <v>450</v>
      </c>
      <c r="AF14" s="133" t="s">
        <v>450</v>
      </c>
      <c r="AG14" s="133" t="s">
        <v>452</v>
      </c>
      <c r="AH14" s="132"/>
      <c r="AI14" s="132"/>
      <c r="AJ14" s="82" t="s">
        <v>453</v>
      </c>
      <c r="AK14" s="131" t="s">
        <v>455</v>
      </c>
      <c r="AL14" s="82" t="s">
        <v>456</v>
      </c>
      <c r="AM14" s="82" t="s">
        <v>459</v>
      </c>
      <c r="AN14" s="86" t="s">
        <v>462</v>
      </c>
      <c r="AO14" s="82" t="s">
        <v>464</v>
      </c>
      <c r="AP14" s="131" t="s">
        <v>466</v>
      </c>
      <c r="AQ14" s="82" t="s">
        <v>467</v>
      </c>
      <c r="AR14" s="131" t="s">
        <v>469</v>
      </c>
      <c r="AS14" s="82" t="s">
        <v>470</v>
      </c>
      <c r="AT14" s="134"/>
      <c r="AU14" s="133" t="s">
        <v>470</v>
      </c>
      <c r="AV14" s="131" t="s">
        <v>470</v>
      </c>
      <c r="AW14" s="131"/>
      <c r="AX14" s="82" t="s">
        <v>474</v>
      </c>
      <c r="AY14" s="82" t="s">
        <v>470</v>
      </c>
      <c r="AZ14" s="82" t="s">
        <v>477</v>
      </c>
      <c r="BA14" s="82" t="s">
        <v>470</v>
      </c>
      <c r="BB14" s="131" t="s">
        <v>470</v>
      </c>
      <c r="BC14" s="133"/>
      <c r="BD14" s="133"/>
      <c r="BE14" s="131"/>
      <c r="BF14" s="133"/>
      <c r="BG14" s="133"/>
      <c r="BH14" s="133"/>
      <c r="BI14" s="133"/>
      <c r="BJ14" s="133"/>
      <c r="BK14" s="131"/>
      <c r="BL14" s="131" t="s">
        <v>470</v>
      </c>
      <c r="BM14" s="133" t="s">
        <v>480</v>
      </c>
      <c r="BN14" s="82" t="s">
        <v>481</v>
      </c>
      <c r="BO14" s="133"/>
      <c r="BP14" s="133"/>
      <c r="BQ14" s="131"/>
      <c r="BR14" s="133"/>
      <c r="BS14" s="136"/>
      <c r="BT14" s="136"/>
      <c r="BU14" s="136"/>
      <c r="BV14" s="131" t="s">
        <v>483</v>
      </c>
      <c r="BW14" s="134"/>
      <c r="BX14" s="134"/>
      <c r="BY14" s="134"/>
      <c r="BZ14" s="134" t="s">
        <v>484</v>
      </c>
      <c r="CA14" s="136" t="s">
        <v>485</v>
      </c>
      <c r="CB14" s="86" t="s">
        <v>486</v>
      </c>
      <c r="CC14" s="133"/>
      <c r="CD14" s="134"/>
      <c r="CE14" s="134"/>
      <c r="CF14" s="134"/>
      <c r="CG14" s="136"/>
      <c r="CH14" s="136"/>
      <c r="CI14" s="136"/>
      <c r="CJ14" s="134"/>
      <c r="CK14" s="134"/>
      <c r="CL14" s="134"/>
      <c r="CM14" s="134"/>
      <c r="CN14" s="136"/>
      <c r="CO14" s="136"/>
      <c r="CP14" s="136"/>
      <c r="CQ14" s="133"/>
      <c r="CR14" s="134"/>
      <c r="CS14" s="134"/>
      <c r="CT14" s="134"/>
      <c r="CU14" s="136"/>
      <c r="CV14" s="134"/>
      <c r="CW14" s="134"/>
      <c r="CX14" s="134"/>
      <c r="CY14" s="133"/>
      <c r="CZ14" s="133"/>
      <c r="DA14" s="134"/>
      <c r="DB14" s="133"/>
      <c r="DC14" s="134"/>
      <c r="DD14" s="134"/>
      <c r="DE14" s="134"/>
      <c r="DF14" s="134"/>
      <c r="DG14" s="134"/>
      <c r="DH14" s="134"/>
      <c r="DI14" s="134"/>
      <c r="DJ14" s="134"/>
      <c r="DK14" s="134"/>
      <c r="DL14" s="134"/>
      <c r="DM14" s="134"/>
      <c r="DN14" s="134"/>
      <c r="DO14" s="134"/>
      <c r="DP14" s="134"/>
      <c r="DQ14" s="134"/>
      <c r="DR14" s="134"/>
    </row>
    <row r="15" spans="1:155" ht="203">
      <c r="C15" s="131"/>
      <c r="D15" s="137"/>
      <c r="E15" s="82" t="s">
        <v>431</v>
      </c>
      <c r="F15" s="82" t="s">
        <v>433</v>
      </c>
      <c r="G15" s="131"/>
      <c r="H15" s="131"/>
      <c r="I15" s="131"/>
      <c r="J15" s="131"/>
      <c r="K15" s="82" t="s">
        <v>437</v>
      </c>
      <c r="L15" s="134"/>
      <c r="M15" s="82" t="s">
        <v>439</v>
      </c>
      <c r="N15" s="82" t="s">
        <v>442</v>
      </c>
      <c r="O15" s="131"/>
      <c r="P15" s="133"/>
      <c r="Q15" s="133"/>
      <c r="R15" s="131"/>
      <c r="S15" s="82" t="s">
        <v>444</v>
      </c>
      <c r="T15" s="82" t="s">
        <v>448</v>
      </c>
      <c r="U15" s="133"/>
      <c r="V15" s="131"/>
      <c r="W15" s="132"/>
      <c r="X15" s="82" t="s">
        <v>449</v>
      </c>
      <c r="Y15" s="131"/>
      <c r="Z15" s="131"/>
      <c r="AA15" s="131"/>
      <c r="AB15" s="131"/>
      <c r="AC15" s="131"/>
      <c r="AD15" s="131"/>
      <c r="AE15" s="82" t="s">
        <v>451</v>
      </c>
      <c r="AF15" s="133"/>
      <c r="AG15" s="133"/>
      <c r="AH15" s="132"/>
      <c r="AI15" s="132"/>
      <c r="AJ15" s="82" t="s">
        <v>454</v>
      </c>
      <c r="AK15" s="131"/>
      <c r="AL15" s="82" t="s">
        <v>457</v>
      </c>
      <c r="AM15" s="82" t="s">
        <v>460</v>
      </c>
      <c r="AN15" s="86" t="s">
        <v>463</v>
      </c>
      <c r="AO15" s="82" t="s">
        <v>465</v>
      </c>
      <c r="AP15" s="131"/>
      <c r="AQ15" s="82" t="s">
        <v>468</v>
      </c>
      <c r="AR15" s="131"/>
      <c r="AS15" s="82" t="s">
        <v>471</v>
      </c>
      <c r="AT15" s="134"/>
      <c r="AU15" s="133"/>
      <c r="AV15" s="131"/>
      <c r="AW15" s="131"/>
      <c r="AX15" s="82" t="s">
        <v>475</v>
      </c>
      <c r="AY15" s="82" t="s">
        <v>476</v>
      </c>
      <c r="AZ15" s="82" t="s">
        <v>478</v>
      </c>
      <c r="BA15" s="82" t="s">
        <v>479</v>
      </c>
      <c r="BB15" s="131"/>
      <c r="BC15" s="133"/>
      <c r="BD15" s="133"/>
      <c r="BE15" s="131"/>
      <c r="BF15" s="133"/>
      <c r="BG15" s="133"/>
      <c r="BH15" s="133"/>
      <c r="BI15" s="133"/>
      <c r="BJ15" s="133"/>
      <c r="BK15" s="131"/>
      <c r="BL15" s="131"/>
      <c r="BM15" s="133"/>
      <c r="BN15" s="82" t="s">
        <v>482</v>
      </c>
      <c r="BO15" s="133"/>
      <c r="BP15" s="133"/>
      <c r="BQ15" s="131"/>
      <c r="BR15" s="133"/>
      <c r="BS15" s="136"/>
      <c r="BT15" s="136"/>
      <c r="BU15" s="136"/>
      <c r="BV15" s="131"/>
      <c r="BW15" s="134"/>
      <c r="BX15" s="134"/>
      <c r="BY15" s="134"/>
      <c r="BZ15" s="134"/>
      <c r="CA15" s="136"/>
      <c r="CB15" s="86" t="s">
        <v>487</v>
      </c>
      <c r="CC15" s="133"/>
      <c r="CD15" s="134"/>
      <c r="CE15" s="134"/>
      <c r="CF15" s="134"/>
      <c r="CG15" s="136"/>
      <c r="CH15" s="136"/>
      <c r="CI15" s="136"/>
      <c r="CJ15" s="134"/>
      <c r="CK15" s="134"/>
      <c r="CL15" s="134"/>
      <c r="CM15" s="134"/>
      <c r="CN15" s="136"/>
      <c r="CO15" s="136"/>
      <c r="CP15" s="136"/>
      <c r="CQ15" s="133"/>
      <c r="CR15" s="134"/>
      <c r="CS15" s="134"/>
      <c r="CT15" s="134"/>
      <c r="CU15" s="136"/>
      <c r="CV15" s="134"/>
      <c r="CW15" s="134"/>
      <c r="CX15" s="134"/>
      <c r="CY15" s="133"/>
      <c r="CZ15" s="133"/>
      <c r="DA15" s="134"/>
      <c r="DB15" s="133"/>
      <c r="DC15" s="134"/>
      <c r="DD15" s="134"/>
      <c r="DE15" s="134"/>
      <c r="DF15" s="134"/>
      <c r="DG15" s="134"/>
      <c r="DH15" s="134"/>
      <c r="DI15" s="134"/>
      <c r="DJ15" s="134"/>
      <c r="DK15" s="134"/>
      <c r="DL15" s="134"/>
      <c r="DM15" s="134"/>
      <c r="DN15" s="134"/>
      <c r="DO15" s="134"/>
      <c r="DP15" s="134"/>
      <c r="DQ15" s="134"/>
      <c r="DR15" s="134"/>
    </row>
    <row r="16" spans="1:155" ht="72.5">
      <c r="C16" s="131"/>
      <c r="D16" s="137"/>
      <c r="E16" s="82"/>
      <c r="F16" s="82" t="s">
        <v>434</v>
      </c>
      <c r="G16" s="131"/>
      <c r="H16" s="131"/>
      <c r="I16" s="131"/>
      <c r="J16" s="131"/>
      <c r="K16" s="82"/>
      <c r="L16" s="134"/>
      <c r="M16" s="82" t="s">
        <v>440</v>
      </c>
      <c r="N16" s="82"/>
      <c r="O16" s="131"/>
      <c r="P16" s="133"/>
      <c r="Q16" s="133"/>
      <c r="R16" s="131"/>
      <c r="S16" s="82" t="s">
        <v>445</v>
      </c>
      <c r="T16" s="82"/>
      <c r="U16" s="133"/>
      <c r="V16" s="131"/>
      <c r="W16" s="132"/>
      <c r="X16" s="82"/>
      <c r="Y16" s="131"/>
      <c r="Z16" s="131"/>
      <c r="AA16" s="131"/>
      <c r="AB16" s="131"/>
      <c r="AC16" s="131"/>
      <c r="AD16" s="131"/>
      <c r="AE16" s="82"/>
      <c r="AF16" s="133"/>
      <c r="AG16" s="133"/>
      <c r="AH16" s="132"/>
      <c r="AI16" s="132"/>
      <c r="AJ16" s="82"/>
      <c r="AK16" s="131"/>
      <c r="AL16" s="82" t="s">
        <v>458</v>
      </c>
      <c r="AM16" s="82" t="s">
        <v>461</v>
      </c>
      <c r="AN16" s="86"/>
      <c r="AO16" s="82"/>
      <c r="AP16" s="131"/>
      <c r="AQ16" s="82"/>
      <c r="AR16" s="131"/>
      <c r="AS16" s="82" t="s">
        <v>472</v>
      </c>
      <c r="AT16" s="134"/>
      <c r="AU16" s="133"/>
      <c r="AV16" s="131"/>
      <c r="AW16" s="131"/>
      <c r="AX16" s="82"/>
      <c r="AY16" s="82"/>
      <c r="AZ16" s="82"/>
      <c r="BA16" s="82"/>
      <c r="BB16" s="131"/>
      <c r="BC16" s="133"/>
      <c r="BD16" s="133"/>
      <c r="BE16" s="131"/>
      <c r="BF16" s="133"/>
      <c r="BG16" s="133"/>
      <c r="BH16" s="133"/>
      <c r="BI16" s="133"/>
      <c r="BJ16" s="133"/>
      <c r="BK16" s="131"/>
      <c r="BL16" s="131"/>
      <c r="BM16" s="133"/>
      <c r="BN16" s="82"/>
      <c r="BO16" s="133"/>
      <c r="BP16" s="133"/>
      <c r="BQ16" s="131"/>
      <c r="BR16" s="133"/>
      <c r="BS16" s="136"/>
      <c r="BT16" s="136"/>
      <c r="BU16" s="136"/>
      <c r="BV16" s="131"/>
      <c r="BW16" s="134"/>
      <c r="BX16" s="134"/>
      <c r="BY16" s="134"/>
      <c r="BZ16" s="134"/>
      <c r="CA16" s="136"/>
      <c r="CB16" s="86" t="s">
        <v>488</v>
      </c>
      <c r="CC16" s="133"/>
      <c r="CD16" s="134"/>
      <c r="CE16" s="134"/>
      <c r="CF16" s="134"/>
      <c r="CG16" s="136"/>
      <c r="CH16" s="136"/>
      <c r="CI16" s="136"/>
      <c r="CJ16" s="134"/>
      <c r="CK16" s="134"/>
      <c r="CL16" s="134"/>
      <c r="CM16" s="134"/>
      <c r="CN16" s="136"/>
      <c r="CO16" s="136"/>
      <c r="CP16" s="136"/>
      <c r="CQ16" s="133"/>
      <c r="CR16" s="134"/>
      <c r="CS16" s="134"/>
      <c r="CT16" s="134"/>
      <c r="CU16" s="136"/>
      <c r="CV16" s="134"/>
      <c r="CW16" s="134"/>
      <c r="CX16" s="134"/>
      <c r="CY16" s="133"/>
      <c r="CZ16" s="133"/>
      <c r="DA16" s="134"/>
      <c r="DB16" s="133"/>
      <c r="DC16" s="134"/>
      <c r="DD16" s="134"/>
      <c r="DE16" s="134"/>
      <c r="DF16" s="134"/>
      <c r="DG16" s="134"/>
      <c r="DH16" s="134"/>
      <c r="DI16" s="134"/>
      <c r="DJ16" s="134"/>
      <c r="DK16" s="134"/>
      <c r="DL16" s="134"/>
      <c r="DM16" s="134"/>
      <c r="DN16" s="134"/>
      <c r="DO16" s="134"/>
      <c r="DP16" s="134"/>
      <c r="DQ16" s="134"/>
      <c r="DR16" s="134"/>
    </row>
    <row r="17" spans="3:122" ht="116">
      <c r="C17" s="131"/>
      <c r="D17" s="137"/>
      <c r="E17" s="82"/>
      <c r="F17" s="82"/>
      <c r="G17" s="131"/>
      <c r="H17" s="131"/>
      <c r="I17" s="131"/>
      <c r="J17" s="131"/>
      <c r="K17" s="82"/>
      <c r="L17" s="134"/>
      <c r="M17" s="82"/>
      <c r="N17" s="82"/>
      <c r="O17" s="131"/>
      <c r="P17" s="133"/>
      <c r="Q17" s="133"/>
      <c r="R17" s="131"/>
      <c r="S17" s="82" t="s">
        <v>446</v>
      </c>
      <c r="T17" s="82"/>
      <c r="U17" s="133"/>
      <c r="V17" s="131"/>
      <c r="W17" s="132"/>
      <c r="X17" s="82"/>
      <c r="Y17" s="131"/>
      <c r="Z17" s="131"/>
      <c r="AA17" s="131"/>
      <c r="AB17" s="131"/>
      <c r="AC17" s="131"/>
      <c r="AD17" s="131"/>
      <c r="AE17" s="82"/>
      <c r="AF17" s="133"/>
      <c r="AG17" s="133"/>
      <c r="AH17" s="132"/>
      <c r="AI17" s="132"/>
      <c r="AJ17" s="82"/>
      <c r="AK17" s="131"/>
      <c r="AL17" s="82"/>
      <c r="AM17" s="82"/>
      <c r="AN17" s="86"/>
      <c r="AO17" s="82"/>
      <c r="AP17" s="131"/>
      <c r="AQ17" s="82"/>
      <c r="AR17" s="131"/>
      <c r="AS17" s="82" t="s">
        <v>473</v>
      </c>
      <c r="AT17" s="134"/>
      <c r="AU17" s="133"/>
      <c r="AV17" s="131"/>
      <c r="AW17" s="131"/>
      <c r="AX17" s="82"/>
      <c r="AY17" s="82"/>
      <c r="AZ17" s="82"/>
      <c r="BA17" s="82"/>
      <c r="BB17" s="131"/>
      <c r="BC17" s="133"/>
      <c r="BD17" s="133"/>
      <c r="BE17" s="131"/>
      <c r="BF17" s="133"/>
      <c r="BG17" s="133"/>
      <c r="BH17" s="133"/>
      <c r="BI17" s="133"/>
      <c r="BJ17" s="133"/>
      <c r="BK17" s="131"/>
      <c r="BL17" s="131"/>
      <c r="BM17" s="133"/>
      <c r="BN17" s="82"/>
      <c r="BO17" s="133"/>
      <c r="BP17" s="133"/>
      <c r="BQ17" s="131"/>
      <c r="BR17" s="133"/>
      <c r="BS17" s="136"/>
      <c r="BT17" s="136"/>
      <c r="BU17" s="136"/>
      <c r="BV17" s="131"/>
      <c r="BW17" s="134"/>
      <c r="BX17" s="134"/>
      <c r="BY17" s="134"/>
      <c r="BZ17" s="134"/>
      <c r="CA17" s="136"/>
      <c r="CB17" s="86" t="s">
        <v>489</v>
      </c>
      <c r="CC17" s="133"/>
      <c r="CD17" s="134"/>
      <c r="CE17" s="134"/>
      <c r="CF17" s="134"/>
      <c r="CG17" s="136"/>
      <c r="CH17" s="136"/>
      <c r="CI17" s="136"/>
      <c r="CJ17" s="134"/>
      <c r="CK17" s="134"/>
      <c r="CL17" s="134"/>
      <c r="CM17" s="134"/>
      <c r="CN17" s="136"/>
      <c r="CO17" s="136"/>
      <c r="CP17" s="136"/>
      <c r="CQ17" s="133"/>
      <c r="CR17" s="134"/>
      <c r="CS17" s="134"/>
      <c r="CT17" s="134"/>
      <c r="CU17" s="136"/>
      <c r="CV17" s="134"/>
      <c r="CW17" s="134"/>
      <c r="CX17" s="134"/>
      <c r="CY17" s="133"/>
      <c r="CZ17" s="133"/>
      <c r="DA17" s="134"/>
      <c r="DB17" s="133"/>
      <c r="DC17" s="134"/>
      <c r="DD17" s="134"/>
      <c r="DE17" s="134"/>
      <c r="DF17" s="134"/>
      <c r="DG17" s="134"/>
      <c r="DH17" s="134"/>
      <c r="DI17" s="134"/>
      <c r="DJ17" s="134"/>
      <c r="DK17" s="134"/>
      <c r="DL17" s="134"/>
      <c r="DM17" s="134"/>
      <c r="DN17" s="134"/>
      <c r="DO17" s="134"/>
      <c r="DP17" s="134"/>
      <c r="DQ17" s="134"/>
      <c r="DR17" s="134"/>
    </row>
    <row r="18" spans="3:122">
      <c r="C18" s="131"/>
      <c r="D18" s="137"/>
      <c r="E18" s="82"/>
      <c r="F18" s="82"/>
      <c r="G18" s="131"/>
      <c r="H18" s="131"/>
      <c r="I18" s="131"/>
      <c r="J18" s="131"/>
      <c r="K18" s="82"/>
      <c r="L18" s="134"/>
      <c r="M18" s="82"/>
      <c r="N18" s="82"/>
      <c r="O18" s="131"/>
      <c r="P18" s="84"/>
      <c r="Q18" s="84"/>
      <c r="R18" s="131"/>
      <c r="S18" s="82"/>
      <c r="T18" s="82"/>
      <c r="U18" s="133"/>
      <c r="V18" s="131"/>
      <c r="W18" s="132"/>
      <c r="X18" s="82"/>
      <c r="Y18" s="131"/>
      <c r="Z18" s="131"/>
      <c r="AA18" s="131"/>
      <c r="AB18" s="131"/>
      <c r="AC18" s="131"/>
      <c r="AD18" s="131"/>
      <c r="AE18" s="82"/>
      <c r="AF18" s="84"/>
      <c r="AG18" s="84"/>
      <c r="AH18" s="132"/>
      <c r="AI18" s="132"/>
      <c r="AJ18" s="82"/>
      <c r="AK18" s="131"/>
      <c r="AL18" s="82"/>
      <c r="AM18" s="82"/>
      <c r="AN18" s="82"/>
      <c r="AO18" s="82"/>
      <c r="AP18" s="82"/>
      <c r="AQ18" s="82"/>
      <c r="AR18" s="131"/>
      <c r="AS18" s="82"/>
      <c r="AT18" s="56"/>
      <c r="AU18" s="133"/>
      <c r="AV18" s="82"/>
      <c r="AW18" s="82"/>
      <c r="AX18" s="82"/>
      <c r="AY18" s="82"/>
      <c r="AZ18" s="82"/>
      <c r="BA18" s="82"/>
      <c r="BB18" s="131"/>
      <c r="BC18" s="84"/>
      <c r="BD18" s="133"/>
      <c r="BE18" s="131"/>
      <c r="BF18" s="133"/>
      <c r="BG18" s="133"/>
      <c r="BH18" s="133"/>
      <c r="BI18" s="133"/>
      <c r="BJ18" s="133"/>
      <c r="BK18" s="82"/>
      <c r="BL18" s="131"/>
      <c r="BM18" s="133"/>
      <c r="BN18" s="82"/>
      <c r="BO18" s="133"/>
      <c r="BP18" s="133"/>
      <c r="BQ18" s="82"/>
      <c r="BR18" s="84"/>
      <c r="BS18" s="86"/>
      <c r="BT18" s="86"/>
      <c r="BU18" s="86"/>
      <c r="BV18" s="131"/>
      <c r="BW18" s="134"/>
      <c r="BX18" s="134"/>
      <c r="BY18" s="134"/>
      <c r="BZ18" s="134"/>
      <c r="CA18" s="86"/>
      <c r="CB18" s="86"/>
      <c r="CC18" s="133"/>
      <c r="CD18" s="134"/>
      <c r="CE18" s="134"/>
      <c r="CF18" s="134"/>
      <c r="CG18" s="86"/>
      <c r="CH18" s="86"/>
      <c r="CI18" s="136"/>
      <c r="CJ18" s="134"/>
      <c r="CK18" s="134"/>
      <c r="CL18" s="134"/>
      <c r="CM18" s="134"/>
      <c r="CN18" s="136"/>
      <c r="CO18" s="136"/>
      <c r="CP18" s="86"/>
    </row>
    <row r="19" spans="3:122">
      <c r="C19" s="131"/>
      <c r="D19" s="137"/>
      <c r="E19" s="82"/>
      <c r="F19" s="82"/>
      <c r="G19" s="131"/>
      <c r="H19" s="131"/>
      <c r="I19" s="131"/>
      <c r="J19" s="131"/>
      <c r="K19" s="82"/>
      <c r="L19" s="134"/>
      <c r="M19" s="82"/>
      <c r="N19" s="82"/>
      <c r="O19" s="131"/>
      <c r="P19" s="84"/>
      <c r="Q19" s="84"/>
      <c r="R19" s="131"/>
      <c r="S19" s="82"/>
      <c r="T19" s="82"/>
      <c r="U19" s="133"/>
      <c r="V19" s="131"/>
      <c r="W19" s="132"/>
      <c r="X19" s="82"/>
      <c r="Y19" s="131"/>
      <c r="Z19" s="131"/>
      <c r="AA19" s="131"/>
      <c r="AB19" s="131"/>
      <c r="AC19" s="131"/>
      <c r="AD19" s="131"/>
      <c r="AE19" s="82"/>
      <c r="AF19" s="84"/>
      <c r="AG19" s="84"/>
      <c r="AH19" s="132"/>
      <c r="AI19" s="132"/>
      <c r="AJ19" s="82"/>
      <c r="AK19" s="131"/>
      <c r="AL19" s="82"/>
      <c r="AM19" s="82"/>
      <c r="AN19" s="82"/>
      <c r="AO19" s="82"/>
      <c r="AP19" s="82"/>
      <c r="AQ19" s="82"/>
      <c r="AR19" s="131"/>
      <c r="AS19" s="82"/>
      <c r="AT19" s="56"/>
      <c r="AU19" s="133"/>
      <c r="AV19" s="82"/>
      <c r="AW19" s="82"/>
      <c r="AX19" s="82"/>
      <c r="AY19" s="82"/>
      <c r="AZ19" s="82"/>
      <c r="BA19" s="82"/>
      <c r="BB19" s="131"/>
      <c r="BC19" s="84"/>
      <c r="BD19" s="133"/>
      <c r="BE19" s="131"/>
      <c r="BF19" s="133"/>
      <c r="BG19" s="133"/>
      <c r="BH19" s="133"/>
      <c r="BI19" s="133"/>
      <c r="BJ19" s="133"/>
      <c r="BK19" s="82"/>
      <c r="BL19" s="131"/>
      <c r="BM19" s="133"/>
      <c r="BN19" s="82"/>
      <c r="BO19" s="133"/>
      <c r="BP19" s="133"/>
      <c r="BQ19" s="82"/>
      <c r="BR19" s="84"/>
      <c r="BS19" s="86"/>
      <c r="BT19" s="86"/>
      <c r="BU19" s="86"/>
      <c r="BV19" s="131"/>
      <c r="BW19" s="134"/>
      <c r="BX19" s="134"/>
      <c r="BY19" s="134"/>
      <c r="BZ19" s="134"/>
      <c r="CA19" s="86"/>
      <c r="CB19" s="86"/>
      <c r="CC19" s="133"/>
      <c r="CD19" s="134"/>
      <c r="CE19" s="134"/>
      <c r="CF19" s="134"/>
      <c r="CG19" s="86"/>
      <c r="CH19" s="86"/>
      <c r="CI19" s="136"/>
      <c r="CJ19" s="134"/>
      <c r="CK19" s="134"/>
      <c r="CL19" s="134"/>
      <c r="CM19" s="134"/>
      <c r="CN19" s="136"/>
      <c r="CO19" s="136"/>
      <c r="CP19" s="86"/>
    </row>
    <row r="20" spans="3:122">
      <c r="C20" s="131"/>
      <c r="D20" s="137"/>
      <c r="E20" s="82"/>
      <c r="F20" s="82"/>
      <c r="G20" s="131"/>
      <c r="H20" s="131"/>
      <c r="I20" s="131"/>
      <c r="J20" s="131"/>
      <c r="K20" s="82"/>
      <c r="L20" s="134"/>
      <c r="M20" s="82"/>
      <c r="N20" s="82"/>
      <c r="O20" s="131"/>
      <c r="P20" s="84"/>
      <c r="Q20" s="84"/>
      <c r="R20" s="131"/>
      <c r="S20" s="82"/>
      <c r="T20" s="82"/>
      <c r="U20" s="133"/>
      <c r="V20" s="131"/>
      <c r="W20" s="132"/>
      <c r="X20" s="82"/>
      <c r="Y20" s="131"/>
      <c r="Z20" s="131"/>
      <c r="AA20" s="131"/>
      <c r="AB20" s="131"/>
      <c r="AC20" s="131"/>
      <c r="AD20" s="131"/>
      <c r="AE20" s="82"/>
      <c r="AF20" s="84"/>
      <c r="AG20" s="84"/>
      <c r="AH20" s="132"/>
      <c r="AI20" s="132"/>
      <c r="AJ20" s="82"/>
      <c r="AK20" s="131"/>
      <c r="AL20" s="82"/>
      <c r="AM20" s="82"/>
      <c r="AN20" s="82"/>
      <c r="AO20" s="82"/>
      <c r="AP20" s="82"/>
      <c r="AQ20" s="82"/>
      <c r="AR20" s="131"/>
      <c r="AS20" s="82"/>
      <c r="AT20" s="56"/>
      <c r="AU20" s="133"/>
      <c r="AV20" s="82"/>
      <c r="AW20" s="82"/>
      <c r="AX20" s="82"/>
      <c r="AY20" s="82"/>
      <c r="AZ20" s="82"/>
      <c r="BA20" s="82"/>
      <c r="BB20" s="131"/>
      <c r="BC20" s="84"/>
      <c r="BD20" s="133"/>
      <c r="BE20" s="131"/>
      <c r="BF20" s="133"/>
      <c r="BG20" s="133"/>
      <c r="BH20" s="133"/>
      <c r="BI20" s="133"/>
      <c r="BJ20" s="133"/>
      <c r="BK20" s="82"/>
      <c r="BL20" s="131"/>
      <c r="BM20" s="133"/>
      <c r="BN20" s="82"/>
      <c r="BO20" s="133"/>
      <c r="BP20" s="133"/>
      <c r="BQ20" s="82"/>
      <c r="BR20" s="84"/>
      <c r="BS20" s="86"/>
      <c r="BT20" s="86"/>
      <c r="BU20" s="86"/>
      <c r="BV20" s="131"/>
      <c r="BW20" s="134"/>
      <c r="BX20" s="134"/>
      <c r="BY20" s="134"/>
      <c r="BZ20" s="134"/>
      <c r="CA20" s="86"/>
      <c r="CB20" s="86"/>
      <c r="CC20" s="133"/>
      <c r="CD20" s="134"/>
      <c r="CE20" s="134"/>
      <c r="CF20" s="134"/>
      <c r="CG20" s="86"/>
      <c r="CH20" s="86"/>
      <c r="CI20" s="136"/>
      <c r="CJ20" s="134"/>
      <c r="CK20" s="134"/>
      <c r="CL20" s="134"/>
      <c r="CM20" s="134"/>
      <c r="CN20" s="136"/>
      <c r="CO20" s="136"/>
      <c r="CP20" s="86"/>
    </row>
  </sheetData>
  <mergeCells count="98">
    <mergeCell ref="DR14:DR17"/>
    <mergeCell ref="DG14:DG17"/>
    <mergeCell ref="DH14:DH17"/>
    <mergeCell ref="DI14:DI17"/>
    <mergeCell ref="DJ14:DJ17"/>
    <mergeCell ref="DK14:DK17"/>
    <mergeCell ref="DL14:DL17"/>
    <mergeCell ref="DM14:DM17"/>
    <mergeCell ref="DN14:DN17"/>
    <mergeCell ref="DO14:DO17"/>
    <mergeCell ref="DP14:DP17"/>
    <mergeCell ref="DQ14:DQ17"/>
    <mergeCell ref="DF14:DF17"/>
    <mergeCell ref="CU14:CU17"/>
    <mergeCell ref="CV14:CV17"/>
    <mergeCell ref="CW14:CW17"/>
    <mergeCell ref="CX14:CX17"/>
    <mergeCell ref="CY14:CY17"/>
    <mergeCell ref="CZ14:CZ17"/>
    <mergeCell ref="DA14:DA17"/>
    <mergeCell ref="DB14:DB17"/>
    <mergeCell ref="DC14:DC17"/>
    <mergeCell ref="DD14:DD17"/>
    <mergeCell ref="DE14:DE17"/>
    <mergeCell ref="BQ14:BQ17"/>
    <mergeCell ref="BR14:BR17"/>
    <mergeCell ref="CT14:CT17"/>
    <mergeCell ref="CQ14:CQ17"/>
    <mergeCell ref="CR14:CR17"/>
    <mergeCell ref="CS14:CS17"/>
    <mergeCell ref="CI14:CI20"/>
    <mergeCell ref="CJ14:CJ20"/>
    <mergeCell ref="CK14:CK20"/>
    <mergeCell ref="CL14:CL20"/>
    <mergeCell ref="AW14:AW17"/>
    <mergeCell ref="BB14:BB20"/>
    <mergeCell ref="BC14:BC17"/>
    <mergeCell ref="BO14:BO20"/>
    <mergeCell ref="BP14:BP20"/>
    <mergeCell ref="AF14:AF17"/>
    <mergeCell ref="AG14:AG17"/>
    <mergeCell ref="AH14:AH20"/>
    <mergeCell ref="AT14:AT17"/>
    <mergeCell ref="AV14:AV17"/>
    <mergeCell ref="J14:J20"/>
    <mergeCell ref="L14:L20"/>
    <mergeCell ref="O14:O20"/>
    <mergeCell ref="P14:P17"/>
    <mergeCell ref="AD14:AD20"/>
    <mergeCell ref="C14:C20"/>
    <mergeCell ref="D14:D20"/>
    <mergeCell ref="G14:G20"/>
    <mergeCell ref="H14:H20"/>
    <mergeCell ref="I14:I20"/>
    <mergeCell ref="Q14:Q17"/>
    <mergeCell ref="R14:R20"/>
    <mergeCell ref="U14:U20"/>
    <mergeCell ref="V14:V20"/>
    <mergeCell ref="W14:W20"/>
    <mergeCell ref="Y14:Y20"/>
    <mergeCell ref="Z14:Z20"/>
    <mergeCell ref="AA14:AA20"/>
    <mergeCell ref="AB14:AB20"/>
    <mergeCell ref="AC14:AC20"/>
    <mergeCell ref="AI14:AI20"/>
    <mergeCell ref="AK14:AK20"/>
    <mergeCell ref="AP14:AP17"/>
    <mergeCell ref="AR14:AR20"/>
    <mergeCell ref="AU14:AU20"/>
    <mergeCell ref="BD14:BD20"/>
    <mergeCell ref="BE14:BE20"/>
    <mergeCell ref="BF14:BF20"/>
    <mergeCell ref="BG14:BG20"/>
    <mergeCell ref="BH14:BH20"/>
    <mergeCell ref="BI14:BI20"/>
    <mergeCell ref="BJ14:BJ20"/>
    <mergeCell ref="BK14:BK17"/>
    <mergeCell ref="BL14:BL20"/>
    <mergeCell ref="BM14:BM20"/>
    <mergeCell ref="BS14:BS17"/>
    <mergeCell ref="BT14:BT17"/>
    <mergeCell ref="BU14:BU17"/>
    <mergeCell ref="BV14:BV20"/>
    <mergeCell ref="BW14:BW20"/>
    <mergeCell ref="BX14:BX20"/>
    <mergeCell ref="BY14:BY20"/>
    <mergeCell ref="BZ14:BZ20"/>
    <mergeCell ref="CA14:CA17"/>
    <mergeCell ref="CC14:CC20"/>
    <mergeCell ref="CM14:CM20"/>
    <mergeCell ref="CN14:CN20"/>
    <mergeCell ref="CO14:CO20"/>
    <mergeCell ref="CP14:CP17"/>
    <mergeCell ref="CD14:CD20"/>
    <mergeCell ref="CE14:CE20"/>
    <mergeCell ref="CF14:CF20"/>
    <mergeCell ref="CG14:CG17"/>
    <mergeCell ref="CH14:CH17"/>
  </mergeCells>
  <phoneticPr fontId="23" type="noConversion"/>
  <conditionalFormatting sqref="A13:B13">
    <cfRule type="cellIs" dxfId="23" priority="33" operator="equal">
      <formula>"Not Pass"</formula>
    </cfRule>
    <cfRule type="cellIs" dxfId="22" priority="83" operator="equal">
      <formula>"No"</formula>
    </cfRule>
    <cfRule type="cellIs" dxfId="21" priority="84" operator="equal">
      <formula>"Yes"</formula>
    </cfRule>
  </conditionalFormatting>
  <conditionalFormatting sqref="DS13:XFD13">
    <cfRule type="cellIs" dxfId="20" priority="4" operator="equal">
      <formula>"Not Pass"</formula>
    </cfRule>
    <cfRule type="cellIs" dxfId="19" priority="70" operator="equal">
      <formula>"No"</formula>
    </cfRule>
    <cfRule type="cellIs" dxfId="18" priority="71" operator="equal">
      <formula>"Yes"</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0A4D3-37DB-41E4-A6FA-C8673447E4B6}">
  <dimension ref="A1:EV17"/>
  <sheetViews>
    <sheetView topLeftCell="A11" zoomScale="90" zoomScaleNormal="90" workbookViewId="0">
      <pane xSplit="2" topLeftCell="BW1" activePane="topRight" state="frozen"/>
      <selection pane="topRight" activeCell="BY13" sqref="BY13"/>
    </sheetView>
  </sheetViews>
  <sheetFormatPr defaultColWidth="8.81640625" defaultRowHeight="14.5"/>
  <cols>
    <col min="1" max="1" width="8.81640625" style="18"/>
    <col min="2" max="2" width="45.453125" style="18" customWidth="1"/>
    <col min="3" max="19" width="15.453125" style="21" customWidth="1"/>
    <col min="20" max="23" width="8.81640625" style="18" customWidth="1"/>
    <col min="24" max="24" width="18.26953125" style="18" customWidth="1"/>
    <col min="25" max="25" width="16.453125" style="18" customWidth="1"/>
    <col min="26" max="32" width="8.81640625" style="18" customWidth="1"/>
    <col min="33" max="33" width="10.90625" style="18" customWidth="1"/>
    <col min="34" max="34" width="9.54296875" style="18" customWidth="1"/>
    <col min="35" max="35" width="11.7265625" style="18" customWidth="1"/>
    <col min="36" max="36" width="8.81640625" style="18" customWidth="1"/>
    <col min="37" max="37" width="10.7265625" style="18" customWidth="1"/>
    <col min="38" max="38" width="11" style="18" customWidth="1"/>
    <col min="39" max="39" width="10.26953125" style="18" customWidth="1"/>
    <col min="40" max="52" width="8.81640625" style="18" customWidth="1"/>
    <col min="53" max="53" width="13.1796875" style="18" customWidth="1"/>
    <col min="54" max="59" width="8.81640625" style="18" customWidth="1"/>
    <col min="60" max="60" width="16.36328125" style="18" customWidth="1"/>
    <col min="61" max="122" width="20.6328125" style="18" customWidth="1"/>
    <col min="123" max="16384" width="8.81640625" style="18"/>
  </cols>
  <sheetData>
    <row r="1" spans="1:152">
      <c r="B1" s="19" t="s">
        <v>189</v>
      </c>
      <c r="C1" s="61" t="s">
        <v>54</v>
      </c>
      <c r="D1" s="76" t="s">
        <v>225</v>
      </c>
    </row>
    <row r="2" spans="1:152" s="19" customFormat="1" ht="28">
      <c r="A2" s="22" t="s">
        <v>61</v>
      </c>
      <c r="B2" s="22" t="s">
        <v>190</v>
      </c>
      <c r="C2" s="73" t="s">
        <v>229</v>
      </c>
      <c r="D2" s="73" t="s">
        <v>230</v>
      </c>
      <c r="E2" s="73" t="s">
        <v>231</v>
      </c>
      <c r="F2" s="73" t="s">
        <v>232</v>
      </c>
      <c r="G2" s="73" t="s">
        <v>233</v>
      </c>
      <c r="H2" s="73" t="s">
        <v>234</v>
      </c>
      <c r="I2" s="73" t="s">
        <v>235</v>
      </c>
      <c r="J2" s="73" t="s">
        <v>236</v>
      </c>
      <c r="K2" s="73" t="s">
        <v>237</v>
      </c>
      <c r="L2" s="73" t="s">
        <v>238</v>
      </c>
      <c r="M2" s="73" t="s">
        <v>239</v>
      </c>
      <c r="N2" s="73" t="s">
        <v>240</v>
      </c>
      <c r="O2" s="73" t="s">
        <v>241</v>
      </c>
      <c r="P2" s="73" t="s">
        <v>242</v>
      </c>
      <c r="Q2" s="73" t="s">
        <v>243</v>
      </c>
      <c r="R2" s="73" t="s">
        <v>244</v>
      </c>
      <c r="S2" s="73" t="s">
        <v>245</v>
      </c>
      <c r="T2" s="73" t="s">
        <v>246</v>
      </c>
      <c r="U2" s="73" t="s">
        <v>247</v>
      </c>
      <c r="V2" s="73" t="s">
        <v>248</v>
      </c>
      <c r="W2" s="73" t="s">
        <v>249</v>
      </c>
      <c r="X2" s="73" t="s">
        <v>250</v>
      </c>
      <c r="Y2" s="73" t="s">
        <v>251</v>
      </c>
      <c r="Z2" s="73" t="s">
        <v>252</v>
      </c>
      <c r="AA2" s="73" t="s">
        <v>253</v>
      </c>
      <c r="AB2" s="73" t="s">
        <v>254</v>
      </c>
      <c r="AC2" s="73" t="s">
        <v>255</v>
      </c>
      <c r="AD2" s="73" t="s">
        <v>256</v>
      </c>
      <c r="AE2" s="73" t="s">
        <v>257</v>
      </c>
      <c r="AF2" s="73" t="s">
        <v>258</v>
      </c>
      <c r="AG2" s="73" t="s">
        <v>259</v>
      </c>
      <c r="AH2" s="73" t="s">
        <v>260</v>
      </c>
      <c r="AI2" s="73" t="s">
        <v>261</v>
      </c>
      <c r="AJ2" s="73" t="s">
        <v>262</v>
      </c>
      <c r="AK2" s="73" t="s">
        <v>263</v>
      </c>
      <c r="AL2" s="73" t="s">
        <v>264</v>
      </c>
      <c r="AM2" s="73" t="s">
        <v>265</v>
      </c>
      <c r="AN2" s="73" t="s">
        <v>266</v>
      </c>
      <c r="AO2" s="73" t="s">
        <v>267</v>
      </c>
      <c r="AP2" s="73" t="s">
        <v>268</v>
      </c>
      <c r="AQ2" s="73" t="s">
        <v>269</v>
      </c>
      <c r="AR2" s="73" t="s">
        <v>270</v>
      </c>
      <c r="AS2" s="73" t="s">
        <v>271</v>
      </c>
      <c r="AT2" s="73" t="s">
        <v>272</v>
      </c>
      <c r="AU2" s="73" t="s">
        <v>273</v>
      </c>
      <c r="AV2" s="73" t="s">
        <v>274</v>
      </c>
      <c r="AW2" s="73" t="s">
        <v>275</v>
      </c>
      <c r="AX2" s="73" t="s">
        <v>276</v>
      </c>
      <c r="AY2" s="73" t="s">
        <v>278</v>
      </c>
      <c r="AZ2" s="73" t="s">
        <v>279</v>
      </c>
      <c r="BA2" s="73" t="s">
        <v>280</v>
      </c>
      <c r="BB2" s="73" t="s">
        <v>281</v>
      </c>
      <c r="BC2" s="73" t="s">
        <v>282</v>
      </c>
      <c r="BD2" s="73" t="s">
        <v>283</v>
      </c>
      <c r="BE2" s="73" t="s">
        <v>284</v>
      </c>
      <c r="BF2" s="73" t="s">
        <v>285</v>
      </c>
      <c r="BG2" s="73" t="s">
        <v>286</v>
      </c>
      <c r="BH2" s="73" t="s">
        <v>287</v>
      </c>
      <c r="BI2" s="73" t="s">
        <v>288</v>
      </c>
      <c r="BJ2" s="73" t="s">
        <v>289</v>
      </c>
      <c r="BK2" s="73" t="s">
        <v>290</v>
      </c>
      <c r="BL2" s="73" t="s">
        <v>291</v>
      </c>
      <c r="BM2" s="73" t="s">
        <v>292</v>
      </c>
      <c r="BN2" s="73" t="s">
        <v>293</v>
      </c>
      <c r="BO2" s="73" t="s">
        <v>294</v>
      </c>
      <c r="BP2" s="73" t="s">
        <v>295</v>
      </c>
      <c r="BQ2" s="73" t="s">
        <v>296</v>
      </c>
      <c r="BR2" s="73" t="s">
        <v>297</v>
      </c>
      <c r="BS2" s="73" t="s">
        <v>298</v>
      </c>
      <c r="BT2" s="73" t="s">
        <v>299</v>
      </c>
      <c r="BU2" s="73" t="s">
        <v>300</v>
      </c>
      <c r="BV2" s="73" t="s">
        <v>301</v>
      </c>
      <c r="BW2" s="73" t="s">
        <v>302</v>
      </c>
      <c r="BX2" s="73" t="s">
        <v>303</v>
      </c>
      <c r="BY2" s="73" t="s">
        <v>304</v>
      </c>
      <c r="BZ2" s="73" t="s">
        <v>305</v>
      </c>
      <c r="CA2" s="73" t="s">
        <v>307</v>
      </c>
      <c r="CB2" s="73" t="s">
        <v>308</v>
      </c>
      <c r="CC2" s="73" t="s">
        <v>309</v>
      </c>
      <c r="CD2" s="73" t="s">
        <v>310</v>
      </c>
      <c r="CE2" s="73" t="s">
        <v>311</v>
      </c>
      <c r="CF2" s="73" t="s">
        <v>312</v>
      </c>
      <c r="CG2" s="73" t="s">
        <v>313</v>
      </c>
      <c r="CH2" s="73" t="s">
        <v>314</v>
      </c>
      <c r="CI2" s="73" t="s">
        <v>315</v>
      </c>
      <c r="CJ2" s="73" t="s">
        <v>316</v>
      </c>
      <c r="CK2" s="73" t="s">
        <v>317</v>
      </c>
      <c r="CL2" s="73" t="s">
        <v>318</v>
      </c>
      <c r="CM2" s="73" t="s">
        <v>319</v>
      </c>
      <c r="CN2" s="73" t="s">
        <v>320</v>
      </c>
      <c r="CO2" s="73" t="s">
        <v>321</v>
      </c>
      <c r="CP2" s="73" t="s">
        <v>322</v>
      </c>
      <c r="CQ2" s="73" t="s">
        <v>323</v>
      </c>
      <c r="CR2" s="73" t="s">
        <v>324</v>
      </c>
      <c r="CS2" s="73" t="s">
        <v>325</v>
      </c>
      <c r="CT2" s="73" t="s">
        <v>326</v>
      </c>
      <c r="CU2" s="73" t="s">
        <v>327</v>
      </c>
      <c r="CV2" s="73" t="s">
        <v>328</v>
      </c>
      <c r="CW2" s="73" t="s">
        <v>329</v>
      </c>
      <c r="CX2" s="73" t="s">
        <v>330</v>
      </c>
      <c r="CY2" s="73" t="s">
        <v>331</v>
      </c>
      <c r="CZ2" s="73" t="s">
        <v>332</v>
      </c>
      <c r="DA2" s="73" t="s">
        <v>333</v>
      </c>
      <c r="DB2" s="73" t="s">
        <v>334</v>
      </c>
      <c r="DC2" s="73" t="s">
        <v>335</v>
      </c>
      <c r="DD2" s="73" t="s">
        <v>336</v>
      </c>
      <c r="DE2" s="73" t="s">
        <v>337</v>
      </c>
      <c r="DF2" s="73" t="s">
        <v>338</v>
      </c>
      <c r="DG2" s="73" t="s">
        <v>339</v>
      </c>
      <c r="DH2" s="73" t="s">
        <v>340</v>
      </c>
      <c r="DI2" s="73" t="s">
        <v>341</v>
      </c>
      <c r="DJ2" s="73" t="s">
        <v>342</v>
      </c>
      <c r="DK2" s="73" t="s">
        <v>343</v>
      </c>
      <c r="DL2" s="73" t="s">
        <v>344</v>
      </c>
      <c r="DM2" s="73" t="s">
        <v>345</v>
      </c>
      <c r="DN2" s="73" t="s">
        <v>346</v>
      </c>
      <c r="DO2" s="73" t="s">
        <v>347</v>
      </c>
      <c r="DP2" s="73" t="s">
        <v>348</v>
      </c>
      <c r="DQ2" s="73" t="s">
        <v>349</v>
      </c>
      <c r="DR2" s="73" t="s">
        <v>350</v>
      </c>
      <c r="DS2" s="73" t="s">
        <v>351</v>
      </c>
      <c r="DT2" s="73" t="s">
        <v>352</v>
      </c>
      <c r="DU2" s="73" t="s">
        <v>353</v>
      </c>
      <c r="DV2" s="73" t="s">
        <v>354</v>
      </c>
      <c r="DW2" s="73" t="s">
        <v>355</v>
      </c>
      <c r="DX2" s="73" t="s">
        <v>356</v>
      </c>
      <c r="DY2" s="73" t="s">
        <v>357</v>
      </c>
      <c r="DZ2" s="73" t="s">
        <v>358</v>
      </c>
      <c r="EA2" s="73" t="s">
        <v>359</v>
      </c>
      <c r="EB2" s="73" t="s">
        <v>360</v>
      </c>
      <c r="EC2" s="73" t="s">
        <v>361</v>
      </c>
      <c r="ED2" s="73" t="s">
        <v>362</v>
      </c>
      <c r="EE2" s="73" t="s">
        <v>363</v>
      </c>
      <c r="EF2" s="73" t="s">
        <v>364</v>
      </c>
      <c r="EG2" s="73" t="s">
        <v>365</v>
      </c>
      <c r="EH2" s="73" t="s">
        <v>366</v>
      </c>
      <c r="EI2" s="73" t="s">
        <v>367</v>
      </c>
      <c r="EJ2" s="73" t="s">
        <v>368</v>
      </c>
      <c r="EK2" s="73" t="s">
        <v>369</v>
      </c>
      <c r="EL2" s="73" t="s">
        <v>370</v>
      </c>
      <c r="EM2" s="73" t="s">
        <v>371</v>
      </c>
      <c r="EN2" s="73" t="s">
        <v>372</v>
      </c>
      <c r="EO2" s="73" t="s">
        <v>373</v>
      </c>
      <c r="EP2" s="73" t="s">
        <v>374</v>
      </c>
      <c r="EQ2" s="73" t="s">
        <v>375</v>
      </c>
      <c r="ER2" s="73" t="s">
        <v>376</v>
      </c>
      <c r="ES2" s="73" t="s">
        <v>377</v>
      </c>
      <c r="ET2" s="73" t="s">
        <v>378</v>
      </c>
      <c r="EU2" s="73" t="s">
        <v>379</v>
      </c>
      <c r="EV2" s="73" t="s">
        <v>380</v>
      </c>
    </row>
    <row r="3" spans="1:152" ht="43.5">
      <c r="A3" s="23">
        <v>1</v>
      </c>
      <c r="B3" s="24" t="s">
        <v>191</v>
      </c>
      <c r="C3" s="77" t="s">
        <v>384</v>
      </c>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100"/>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100"/>
      <c r="CE3" s="77"/>
      <c r="CF3" s="77"/>
      <c r="CG3" s="77"/>
      <c r="CH3" s="77"/>
      <c r="CI3" s="77"/>
      <c r="CJ3" s="77"/>
      <c r="CK3" s="77"/>
      <c r="CL3" s="62"/>
      <c r="CM3" s="62"/>
      <c r="CN3" s="62"/>
      <c r="CO3" s="62"/>
      <c r="CP3" s="62"/>
      <c r="CQ3" s="62"/>
      <c r="CR3" s="62"/>
      <c r="CS3" s="62"/>
      <c r="CT3" s="62"/>
      <c r="CU3" s="62"/>
      <c r="CV3" s="62"/>
      <c r="CW3" s="62"/>
      <c r="CX3" s="62"/>
      <c r="CY3" s="62"/>
      <c r="CZ3" s="62"/>
      <c r="DA3" s="62"/>
      <c r="DB3" s="62"/>
      <c r="DC3" s="56"/>
      <c r="DD3" s="56"/>
      <c r="DE3" s="56"/>
      <c r="DF3" s="56"/>
      <c r="DG3" s="56"/>
      <c r="DH3" s="56"/>
      <c r="DI3" s="56"/>
      <c r="DJ3" s="56"/>
      <c r="DK3" s="56"/>
      <c r="DL3" s="56"/>
      <c r="DM3" s="56"/>
      <c r="DN3" s="56"/>
      <c r="DO3" s="56"/>
      <c r="DP3" s="56"/>
      <c r="DQ3" s="56"/>
      <c r="DR3" s="56"/>
      <c r="DS3" s="56"/>
      <c r="DT3" s="56"/>
      <c r="DU3" s="56"/>
      <c r="DV3" s="56"/>
      <c r="DW3" s="56"/>
      <c r="DX3" s="56"/>
      <c r="DY3" s="56"/>
      <c r="DZ3" s="56"/>
      <c r="EA3" s="56"/>
      <c r="EB3" s="56"/>
      <c r="EC3" s="56"/>
      <c r="ED3" s="56"/>
      <c r="EE3" s="56"/>
      <c r="EF3" s="56"/>
      <c r="EG3" s="56"/>
      <c r="EH3" s="56"/>
      <c r="EI3" s="56"/>
      <c r="EJ3" s="56"/>
      <c r="EK3" s="56"/>
      <c r="EL3" s="56"/>
      <c r="EM3" s="56"/>
      <c r="EN3" s="56"/>
      <c r="EO3" s="56"/>
      <c r="EP3" s="56"/>
      <c r="EQ3" s="56"/>
      <c r="ER3" s="56"/>
      <c r="ES3" s="56"/>
      <c r="ET3" s="56"/>
      <c r="EU3" s="56"/>
      <c r="EV3" s="56"/>
    </row>
    <row r="4" spans="1:152" ht="29">
      <c r="A4" s="23">
        <v>2</v>
      </c>
      <c r="B4" s="24" t="s">
        <v>192</v>
      </c>
      <c r="C4" s="78" t="s">
        <v>401</v>
      </c>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100"/>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100"/>
      <c r="CE4" s="77"/>
      <c r="CF4" s="77"/>
      <c r="CG4" s="77"/>
      <c r="CH4" s="77"/>
      <c r="CI4" s="77"/>
      <c r="CJ4" s="77"/>
      <c r="CK4" s="77"/>
      <c r="CL4" s="62"/>
      <c r="CM4" s="62"/>
      <c r="CN4" s="62"/>
      <c r="CO4" s="62"/>
      <c r="CP4" s="62"/>
      <c r="CQ4" s="62"/>
      <c r="CR4" s="62"/>
      <c r="CS4" s="62"/>
      <c r="CT4" s="62"/>
      <c r="CU4" s="62"/>
      <c r="CV4" s="62"/>
      <c r="CW4" s="62"/>
      <c r="CX4" s="62"/>
      <c r="CY4" s="62"/>
      <c r="CZ4" s="62"/>
      <c r="DA4" s="62"/>
      <c r="DB4" s="62"/>
      <c r="DC4" s="56"/>
      <c r="DD4" s="56"/>
      <c r="DE4" s="56"/>
      <c r="DF4" s="56"/>
      <c r="DG4" s="56"/>
      <c r="DH4" s="56"/>
      <c r="DI4" s="56"/>
      <c r="DJ4" s="56"/>
      <c r="DK4" s="56"/>
      <c r="DL4" s="56"/>
      <c r="DM4" s="56"/>
      <c r="DN4" s="56"/>
      <c r="DO4" s="56"/>
      <c r="DP4" s="56"/>
      <c r="DQ4" s="56"/>
      <c r="DR4" s="56"/>
      <c r="DS4" s="56"/>
      <c r="DT4" s="56"/>
      <c r="DU4" s="56"/>
      <c r="DV4" s="56"/>
      <c r="DW4" s="56"/>
      <c r="DX4" s="56"/>
      <c r="DY4" s="56"/>
      <c r="DZ4" s="56"/>
      <c r="EA4" s="56"/>
      <c r="EB4" s="56"/>
      <c r="EC4" s="56"/>
      <c r="ED4" s="56"/>
      <c r="EE4" s="56"/>
      <c r="EF4" s="56"/>
      <c r="EG4" s="56"/>
      <c r="EH4" s="56"/>
      <c r="EI4" s="56"/>
      <c r="EJ4" s="56"/>
      <c r="EK4" s="56"/>
      <c r="EL4" s="56"/>
      <c r="EM4" s="56"/>
      <c r="EN4" s="56"/>
      <c r="EO4" s="56"/>
      <c r="EP4" s="56"/>
      <c r="EQ4" s="56"/>
      <c r="ER4" s="56"/>
      <c r="ES4" s="56"/>
      <c r="ET4" s="56"/>
      <c r="EU4" s="56"/>
      <c r="EV4" s="56"/>
    </row>
    <row r="5" spans="1:152" ht="43.5">
      <c r="A5" s="23">
        <v>3</v>
      </c>
      <c r="B5" s="24" t="s">
        <v>193</v>
      </c>
      <c r="C5" s="77" t="s">
        <v>385</v>
      </c>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100"/>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c r="CC5" s="77"/>
      <c r="CD5" s="100"/>
      <c r="CE5" s="77"/>
      <c r="CF5" s="77"/>
      <c r="CG5" s="77"/>
      <c r="CH5" s="77"/>
      <c r="CI5" s="77"/>
      <c r="CJ5" s="77"/>
      <c r="CK5" s="77"/>
      <c r="CL5" s="62"/>
      <c r="CM5" s="62"/>
      <c r="CN5" s="62"/>
      <c r="CO5" s="62"/>
      <c r="CP5" s="62"/>
      <c r="CQ5" s="62"/>
      <c r="CR5" s="62"/>
      <c r="CS5" s="62"/>
      <c r="CT5" s="62"/>
      <c r="CU5" s="62"/>
      <c r="CV5" s="62"/>
      <c r="CW5" s="62"/>
      <c r="CX5" s="62"/>
      <c r="CY5" s="62"/>
      <c r="CZ5" s="62"/>
      <c r="DA5" s="62"/>
      <c r="DB5" s="62"/>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c r="EP5" s="56"/>
      <c r="EQ5" s="56"/>
      <c r="ER5" s="56"/>
      <c r="ES5" s="56"/>
      <c r="ET5" s="56"/>
      <c r="EU5" s="56"/>
      <c r="EV5" s="56"/>
    </row>
    <row r="6" spans="1:152" ht="29">
      <c r="A6" s="23">
        <v>4</v>
      </c>
      <c r="B6" s="24" t="s">
        <v>194</v>
      </c>
      <c r="C6" s="77" t="s">
        <v>384</v>
      </c>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c r="AO6" s="77"/>
      <c r="AP6" s="77"/>
      <c r="AQ6" s="77"/>
      <c r="AR6" s="77"/>
      <c r="AS6" s="77"/>
      <c r="AT6" s="77"/>
      <c r="AU6" s="77"/>
      <c r="AV6" s="100"/>
      <c r="AW6" s="77"/>
      <c r="AX6" s="77"/>
      <c r="AY6" s="77"/>
      <c r="AZ6" s="77"/>
      <c r="BA6" s="77"/>
      <c r="BB6" s="77"/>
      <c r="BC6" s="77"/>
      <c r="BD6" s="77"/>
      <c r="BE6" s="77"/>
      <c r="BF6" s="77"/>
      <c r="BG6" s="77"/>
      <c r="BH6" s="77"/>
      <c r="BI6" s="77"/>
      <c r="BJ6" s="77"/>
      <c r="BK6" s="77"/>
      <c r="BL6" s="77"/>
      <c r="BM6" s="77"/>
      <c r="BN6" s="77"/>
      <c r="BO6" s="77"/>
      <c r="BP6" s="77"/>
      <c r="BQ6" s="77"/>
      <c r="BR6" s="77"/>
      <c r="BS6" s="77"/>
      <c r="BT6" s="77"/>
      <c r="BU6" s="77"/>
      <c r="BV6" s="77"/>
      <c r="BW6" s="77"/>
      <c r="BX6" s="77"/>
      <c r="BY6" s="77"/>
      <c r="BZ6" s="77"/>
      <c r="CA6" s="77"/>
      <c r="CB6" s="77"/>
      <c r="CC6" s="77"/>
      <c r="CD6" s="100"/>
      <c r="CE6" s="77"/>
      <c r="CF6" s="77"/>
      <c r="CG6" s="77"/>
      <c r="CH6" s="77"/>
      <c r="CI6" s="77"/>
      <c r="CJ6" s="77"/>
      <c r="CK6" s="77"/>
      <c r="CL6" s="62"/>
      <c r="CM6" s="62"/>
      <c r="CN6" s="62"/>
      <c r="CO6" s="62"/>
      <c r="CP6" s="62"/>
      <c r="CQ6" s="62"/>
      <c r="CR6" s="62"/>
      <c r="CS6" s="62"/>
      <c r="CT6" s="62"/>
      <c r="CU6" s="62"/>
      <c r="CV6" s="62"/>
      <c r="CW6" s="62"/>
      <c r="CX6" s="62"/>
      <c r="CY6" s="62"/>
      <c r="CZ6" s="62"/>
      <c r="DA6" s="62"/>
      <c r="DB6" s="62"/>
      <c r="DC6" s="56"/>
      <c r="DD6" s="56"/>
      <c r="DE6" s="56"/>
      <c r="DF6" s="56"/>
      <c r="DG6" s="56"/>
      <c r="DH6" s="56"/>
      <c r="DI6" s="56"/>
      <c r="DJ6" s="56"/>
      <c r="DK6" s="56"/>
      <c r="DL6" s="56"/>
      <c r="DM6" s="56"/>
      <c r="DN6" s="56"/>
      <c r="DO6" s="56"/>
      <c r="DP6" s="56"/>
      <c r="DQ6" s="56"/>
      <c r="DR6" s="56"/>
      <c r="DS6" s="56"/>
      <c r="DT6" s="56"/>
      <c r="DU6" s="56"/>
      <c r="DV6" s="56"/>
      <c r="DW6" s="56"/>
      <c r="DX6" s="56"/>
      <c r="DY6" s="56"/>
      <c r="DZ6" s="56"/>
      <c r="EA6" s="56"/>
      <c r="EB6" s="56"/>
      <c r="EC6" s="56"/>
      <c r="ED6" s="56"/>
      <c r="EE6" s="56"/>
      <c r="EF6" s="56"/>
      <c r="EG6" s="56"/>
      <c r="EH6" s="56"/>
      <c r="EI6" s="56"/>
      <c r="EJ6" s="56"/>
      <c r="EK6" s="56"/>
      <c r="EL6" s="56"/>
      <c r="EM6" s="56"/>
      <c r="EN6" s="56"/>
      <c r="EO6" s="56"/>
      <c r="EP6" s="56"/>
      <c r="EQ6" s="56"/>
      <c r="ER6" s="56"/>
      <c r="ES6" s="56"/>
      <c r="ET6" s="56"/>
      <c r="EU6" s="56"/>
      <c r="EV6" s="56"/>
    </row>
    <row r="7" spans="1:152" ht="43.5">
      <c r="A7" s="23">
        <v>5</v>
      </c>
      <c r="B7" s="24" t="s">
        <v>195</v>
      </c>
      <c r="C7" s="77" t="s">
        <v>384</v>
      </c>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c r="AN7" s="77"/>
      <c r="AO7" s="77"/>
      <c r="AP7" s="77"/>
      <c r="AQ7" s="77"/>
      <c r="AR7" s="77"/>
      <c r="AS7" s="77"/>
      <c r="AT7" s="77"/>
      <c r="AU7" s="77"/>
      <c r="AV7" s="100"/>
      <c r="AW7" s="77"/>
      <c r="AX7" s="77"/>
      <c r="AY7" s="77"/>
      <c r="AZ7" s="77"/>
      <c r="BA7" s="77"/>
      <c r="BB7" s="77"/>
      <c r="BC7" s="77"/>
      <c r="BD7" s="77"/>
      <c r="BE7" s="77"/>
      <c r="BF7" s="77"/>
      <c r="BG7" s="77"/>
      <c r="BH7" s="77"/>
      <c r="BI7" s="77"/>
      <c r="BJ7" s="77"/>
      <c r="BK7" s="77"/>
      <c r="BL7" s="77"/>
      <c r="BM7" s="77"/>
      <c r="BN7" s="77"/>
      <c r="BO7" s="77"/>
      <c r="BP7" s="77"/>
      <c r="BQ7" s="77"/>
      <c r="BR7" s="77"/>
      <c r="BS7" s="77"/>
      <c r="BT7" s="77"/>
      <c r="BU7" s="77"/>
      <c r="BV7" s="77"/>
      <c r="BW7" s="77"/>
      <c r="BX7" s="77"/>
      <c r="BY7" s="77"/>
      <c r="BZ7" s="77"/>
      <c r="CA7" s="77"/>
      <c r="CB7" s="77"/>
      <c r="CC7" s="77"/>
      <c r="CD7" s="100"/>
      <c r="CE7" s="77"/>
      <c r="CF7" s="77"/>
      <c r="CG7" s="77"/>
      <c r="CH7" s="77"/>
      <c r="CI7" s="77"/>
      <c r="CJ7" s="77"/>
      <c r="CK7" s="77"/>
      <c r="CL7" s="62"/>
      <c r="CM7" s="62"/>
      <c r="CN7" s="62"/>
      <c r="CO7" s="62"/>
      <c r="CP7" s="62"/>
      <c r="CQ7" s="62"/>
      <c r="CR7" s="62"/>
      <c r="CS7" s="62"/>
      <c r="CT7" s="62"/>
      <c r="CU7" s="62"/>
      <c r="CV7" s="62"/>
      <c r="CW7" s="62"/>
      <c r="CX7" s="62"/>
      <c r="CY7" s="62"/>
      <c r="CZ7" s="62"/>
      <c r="DA7" s="62"/>
      <c r="DB7" s="62"/>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56"/>
      <c r="EP7" s="56"/>
      <c r="EQ7" s="56"/>
      <c r="ER7" s="56"/>
      <c r="ES7" s="56"/>
      <c r="ET7" s="56"/>
      <c r="EU7" s="56"/>
      <c r="EV7" s="56"/>
    </row>
    <row r="8" spans="1:152" ht="29">
      <c r="A8" s="23">
        <v>6</v>
      </c>
      <c r="B8" s="24" t="s">
        <v>196</v>
      </c>
      <c r="C8" s="77" t="s">
        <v>385</v>
      </c>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c r="AR8" s="77"/>
      <c r="AS8" s="77"/>
      <c r="AT8" s="77"/>
      <c r="AU8" s="77"/>
      <c r="AV8" s="100"/>
      <c r="AW8" s="77"/>
      <c r="AX8" s="77"/>
      <c r="AY8" s="77"/>
      <c r="AZ8" s="77"/>
      <c r="BA8" s="77"/>
      <c r="BB8" s="77"/>
      <c r="BC8" s="77"/>
      <c r="BD8" s="77"/>
      <c r="BE8" s="77"/>
      <c r="BF8" s="77"/>
      <c r="BG8" s="77"/>
      <c r="BH8" s="77"/>
      <c r="BI8" s="77"/>
      <c r="BJ8" s="77"/>
      <c r="BK8" s="77"/>
      <c r="BL8" s="77"/>
      <c r="BM8" s="77"/>
      <c r="BN8" s="77"/>
      <c r="BO8" s="77"/>
      <c r="BP8" s="77"/>
      <c r="BQ8" s="77"/>
      <c r="BR8" s="77"/>
      <c r="BS8" s="77"/>
      <c r="BT8" s="77"/>
      <c r="BU8" s="77"/>
      <c r="BV8" s="77"/>
      <c r="BW8" s="77"/>
      <c r="BX8" s="77"/>
      <c r="BY8" s="77"/>
      <c r="BZ8" s="77"/>
      <c r="CA8" s="77"/>
      <c r="CB8" s="77"/>
      <c r="CC8" s="77"/>
      <c r="CD8" s="100"/>
      <c r="CE8" s="77"/>
      <c r="CF8" s="77"/>
      <c r="CG8" s="77"/>
      <c r="CH8" s="77"/>
      <c r="CI8" s="77"/>
      <c r="CJ8" s="77"/>
      <c r="CK8" s="77"/>
      <c r="CL8" s="62"/>
      <c r="CM8" s="62"/>
      <c r="CN8" s="62"/>
      <c r="CO8" s="62"/>
      <c r="CP8" s="62"/>
      <c r="CQ8" s="62"/>
      <c r="CR8" s="62"/>
      <c r="CS8" s="62"/>
      <c r="CT8" s="62"/>
      <c r="CU8" s="62"/>
      <c r="CV8" s="62"/>
      <c r="CW8" s="62"/>
      <c r="CX8" s="62"/>
      <c r="CY8" s="62"/>
      <c r="CZ8" s="62"/>
      <c r="DA8" s="62"/>
      <c r="DB8" s="62"/>
      <c r="DC8" s="56"/>
      <c r="DD8" s="56"/>
      <c r="DE8" s="56"/>
      <c r="DF8" s="56"/>
      <c r="DG8" s="56"/>
      <c r="DH8" s="56"/>
      <c r="DI8" s="56"/>
      <c r="DJ8" s="56"/>
      <c r="DK8" s="56"/>
      <c r="DL8" s="56"/>
      <c r="DM8" s="56"/>
      <c r="DN8" s="56"/>
      <c r="DO8" s="56"/>
      <c r="DP8" s="56"/>
      <c r="DQ8" s="56"/>
      <c r="DR8" s="56"/>
      <c r="DS8" s="56"/>
      <c r="DT8" s="56"/>
      <c r="DU8" s="56"/>
      <c r="DV8" s="56"/>
      <c r="DW8" s="56"/>
      <c r="DX8" s="56"/>
      <c r="DY8" s="56"/>
      <c r="DZ8" s="56"/>
      <c r="EA8" s="56"/>
      <c r="EB8" s="56"/>
      <c r="EC8" s="56"/>
      <c r="ED8" s="56"/>
      <c r="EE8" s="56"/>
      <c r="EF8" s="56"/>
      <c r="EG8" s="56"/>
      <c r="EH8" s="56"/>
      <c r="EI8" s="56"/>
      <c r="EJ8" s="56"/>
      <c r="EK8" s="56"/>
      <c r="EL8" s="56"/>
      <c r="EM8" s="56"/>
      <c r="EN8" s="56"/>
      <c r="EO8" s="56"/>
      <c r="EP8" s="56"/>
      <c r="EQ8" s="56"/>
      <c r="ER8" s="56"/>
      <c r="ES8" s="56"/>
      <c r="ET8" s="56"/>
      <c r="EU8" s="56"/>
      <c r="EV8" s="56"/>
    </row>
    <row r="9" spans="1:152" ht="58">
      <c r="A9" s="23">
        <v>7</v>
      </c>
      <c r="B9" s="24" t="s">
        <v>197</v>
      </c>
      <c r="C9" s="77" t="s">
        <v>384</v>
      </c>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c r="AK9" s="77"/>
      <c r="AL9" s="77"/>
      <c r="AM9" s="77"/>
      <c r="AN9" s="77"/>
      <c r="AO9" s="77"/>
      <c r="AP9" s="77"/>
      <c r="AQ9" s="77"/>
      <c r="AR9" s="77"/>
      <c r="AS9" s="77"/>
      <c r="AT9" s="77"/>
      <c r="AU9" s="77"/>
      <c r="AV9" s="100"/>
      <c r="AW9" s="77"/>
      <c r="AX9" s="77"/>
      <c r="AY9" s="77"/>
      <c r="AZ9" s="77"/>
      <c r="BA9" s="77"/>
      <c r="BB9" s="77"/>
      <c r="BC9" s="77"/>
      <c r="BD9" s="77"/>
      <c r="BE9" s="77"/>
      <c r="BF9" s="77"/>
      <c r="BG9" s="77"/>
      <c r="BH9" s="77"/>
      <c r="BI9" s="77"/>
      <c r="BJ9" s="77"/>
      <c r="BK9" s="77"/>
      <c r="BL9" s="77"/>
      <c r="BM9" s="77"/>
      <c r="BN9" s="77"/>
      <c r="BO9" s="77"/>
      <c r="BP9" s="77"/>
      <c r="BQ9" s="77"/>
      <c r="BR9" s="77"/>
      <c r="BS9" s="77"/>
      <c r="BT9" s="77"/>
      <c r="BU9" s="77"/>
      <c r="BV9" s="77"/>
      <c r="BW9" s="77"/>
      <c r="BX9" s="77"/>
      <c r="BY9" s="77"/>
      <c r="BZ9" s="77"/>
      <c r="CA9" s="77"/>
      <c r="CB9" s="77"/>
      <c r="CC9" s="77"/>
      <c r="CD9" s="100"/>
      <c r="CE9" s="77"/>
      <c r="CF9" s="77"/>
      <c r="CG9" s="77"/>
      <c r="CH9" s="77"/>
      <c r="CI9" s="77"/>
      <c r="CJ9" s="77"/>
      <c r="CK9" s="77"/>
      <c r="CL9" s="62"/>
      <c r="CM9" s="62"/>
      <c r="CN9" s="62"/>
      <c r="CO9" s="62"/>
      <c r="CP9" s="62"/>
      <c r="CQ9" s="62"/>
      <c r="CR9" s="62"/>
      <c r="CS9" s="62"/>
      <c r="CT9" s="62"/>
      <c r="CU9" s="62"/>
      <c r="CV9" s="62"/>
      <c r="CW9" s="62"/>
      <c r="CX9" s="62"/>
      <c r="CY9" s="62"/>
      <c r="CZ9" s="62"/>
      <c r="DA9" s="62"/>
      <c r="DB9" s="62"/>
      <c r="DC9" s="56"/>
      <c r="DD9" s="56"/>
      <c r="DE9" s="56"/>
      <c r="DF9" s="56"/>
      <c r="DG9" s="56"/>
      <c r="DH9" s="56"/>
      <c r="DI9" s="56"/>
      <c r="DJ9" s="56"/>
      <c r="DK9" s="56"/>
      <c r="DL9" s="56"/>
      <c r="DM9" s="56"/>
      <c r="DN9" s="56"/>
      <c r="DO9" s="56"/>
      <c r="DP9" s="56"/>
      <c r="DQ9" s="56"/>
      <c r="DR9" s="56"/>
      <c r="DS9" s="56"/>
      <c r="DT9" s="56"/>
      <c r="DU9" s="56"/>
      <c r="DV9" s="56"/>
      <c r="DW9" s="56"/>
      <c r="DX9" s="56"/>
      <c r="DY9" s="56"/>
      <c r="DZ9" s="56"/>
      <c r="EA9" s="56"/>
      <c r="EB9" s="56"/>
      <c r="EC9" s="56"/>
      <c r="ED9" s="56"/>
      <c r="EE9" s="56"/>
      <c r="EF9" s="56"/>
      <c r="EG9" s="56"/>
      <c r="EH9" s="56"/>
      <c r="EI9" s="56"/>
      <c r="EJ9" s="56"/>
      <c r="EK9" s="56"/>
      <c r="EL9" s="56"/>
      <c r="EM9" s="56"/>
      <c r="EN9" s="56"/>
      <c r="EO9" s="56"/>
      <c r="EP9" s="56"/>
      <c r="EQ9" s="56"/>
      <c r="ER9" s="56"/>
      <c r="ES9" s="56"/>
      <c r="ET9" s="56"/>
      <c r="EU9" s="56"/>
      <c r="EV9" s="56"/>
    </row>
    <row r="10" spans="1:152" ht="58">
      <c r="A10" s="23">
        <v>8</v>
      </c>
      <c r="B10" s="24" t="s">
        <v>198</v>
      </c>
      <c r="C10" s="77" t="s">
        <v>384</v>
      </c>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c r="AK10" s="77"/>
      <c r="AL10" s="77"/>
      <c r="AM10" s="77"/>
      <c r="AN10" s="77"/>
      <c r="AO10" s="77"/>
      <c r="AP10" s="77"/>
      <c r="AQ10" s="77"/>
      <c r="AR10" s="77"/>
      <c r="AS10" s="77"/>
      <c r="AT10" s="77"/>
      <c r="AU10" s="77"/>
      <c r="AV10" s="100"/>
      <c r="AW10" s="77"/>
      <c r="AX10" s="77"/>
      <c r="AY10" s="77"/>
      <c r="AZ10" s="77"/>
      <c r="BA10" s="77"/>
      <c r="BB10" s="77"/>
      <c r="BC10" s="77"/>
      <c r="BD10" s="77"/>
      <c r="BE10" s="77"/>
      <c r="BF10" s="77"/>
      <c r="BG10" s="77"/>
      <c r="BH10" s="77"/>
      <c r="BI10" s="77"/>
      <c r="BJ10" s="77"/>
      <c r="BK10" s="77"/>
      <c r="BL10" s="77"/>
      <c r="BM10" s="77"/>
      <c r="BN10" s="77"/>
      <c r="BO10" s="77"/>
      <c r="BP10" s="77"/>
      <c r="BQ10" s="77"/>
      <c r="BR10" s="77"/>
      <c r="BS10" s="77"/>
      <c r="BT10" s="77"/>
      <c r="BU10" s="77"/>
      <c r="BV10" s="77"/>
      <c r="BW10" s="77"/>
      <c r="BX10" s="77"/>
      <c r="BY10" s="77"/>
      <c r="CA10" s="77"/>
      <c r="CB10" s="77"/>
      <c r="CC10" s="77"/>
      <c r="CD10" s="100"/>
      <c r="CE10" s="77"/>
      <c r="CF10" s="77"/>
      <c r="CG10" s="77"/>
      <c r="CH10" s="77"/>
      <c r="CI10" s="77"/>
      <c r="CJ10" s="77"/>
      <c r="CK10" s="77"/>
      <c r="CL10" s="62"/>
      <c r="CM10" s="62"/>
      <c r="CN10" s="62"/>
      <c r="CO10" s="62"/>
      <c r="CP10" s="62"/>
      <c r="CQ10" s="62"/>
      <c r="CR10" s="62"/>
      <c r="CS10" s="62"/>
      <c r="CT10" s="62"/>
      <c r="CU10" s="62"/>
      <c r="CV10" s="62"/>
      <c r="CW10" s="62"/>
      <c r="CX10" s="62"/>
      <c r="CY10" s="62"/>
      <c r="CZ10" s="62"/>
      <c r="DA10" s="62"/>
      <c r="DB10" s="62"/>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row>
    <row r="11" spans="1:152" ht="58">
      <c r="A11" s="23">
        <v>9</v>
      </c>
      <c r="B11" s="24" t="s">
        <v>199</v>
      </c>
      <c r="C11" s="77" t="s">
        <v>384</v>
      </c>
      <c r="D11" s="77"/>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c r="AS11" s="77"/>
      <c r="AT11" s="77"/>
      <c r="AU11" s="77"/>
      <c r="AV11" s="100"/>
      <c r="AW11" s="77"/>
      <c r="AX11" s="77"/>
      <c r="AY11" s="77"/>
      <c r="AZ11" s="77"/>
      <c r="BA11" s="77"/>
      <c r="BB11" s="77"/>
      <c r="BC11" s="77"/>
      <c r="BD11" s="77"/>
      <c r="BE11" s="77"/>
      <c r="BF11" s="77"/>
      <c r="BG11" s="77"/>
      <c r="BH11" s="77"/>
      <c r="BI11" s="77"/>
      <c r="BJ11" s="77"/>
      <c r="BK11" s="77"/>
      <c r="BL11" s="77"/>
      <c r="BM11" s="77"/>
      <c r="BN11" s="77"/>
      <c r="BO11" s="77"/>
      <c r="BP11" s="77"/>
      <c r="BQ11" s="77"/>
      <c r="BR11" s="77"/>
      <c r="BS11" s="77"/>
      <c r="BT11" s="77"/>
      <c r="BU11" s="77"/>
      <c r="BV11" s="77"/>
      <c r="BW11" s="77"/>
      <c r="BX11" s="77"/>
      <c r="BY11" s="77"/>
      <c r="BZ11" s="77"/>
      <c r="CA11" s="77"/>
      <c r="CB11" s="77"/>
      <c r="CC11" s="77"/>
      <c r="CD11" s="100"/>
      <c r="CE11" s="77"/>
      <c r="CF11" s="77"/>
      <c r="CG11" s="77"/>
      <c r="CH11" s="77"/>
      <c r="CI11" s="77"/>
      <c r="CJ11" s="77"/>
      <c r="CK11" s="77"/>
      <c r="CL11" s="62"/>
      <c r="CM11" s="62"/>
      <c r="CN11" s="62"/>
      <c r="CO11" s="62"/>
      <c r="CP11" s="62"/>
      <c r="CQ11" s="62"/>
      <c r="CR11" s="62"/>
      <c r="CS11" s="62"/>
      <c r="CT11" s="62"/>
      <c r="CU11" s="62"/>
      <c r="CV11" s="62"/>
      <c r="CW11" s="62"/>
      <c r="CX11" s="62"/>
      <c r="CY11" s="62"/>
      <c r="CZ11" s="62"/>
      <c r="DA11" s="62"/>
      <c r="DB11" s="62"/>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56"/>
      <c r="EA11" s="56"/>
      <c r="EB11" s="56"/>
      <c r="EC11" s="56"/>
      <c r="ED11" s="56"/>
      <c r="EE11" s="56"/>
      <c r="EF11" s="56"/>
      <c r="EG11" s="56"/>
      <c r="EH11" s="56"/>
      <c r="EI11" s="56"/>
      <c r="EJ11" s="56"/>
      <c r="EK11" s="56"/>
      <c r="EL11" s="56"/>
      <c r="EM11" s="56"/>
      <c r="EN11" s="56"/>
      <c r="EO11" s="56"/>
      <c r="EP11" s="56"/>
      <c r="EQ11" s="56"/>
      <c r="ER11" s="56"/>
      <c r="ES11" s="56"/>
      <c r="ET11" s="56"/>
      <c r="EU11" s="56"/>
      <c r="EV11" s="56"/>
    </row>
    <row r="12" spans="1:152" ht="58">
      <c r="A12" s="23">
        <v>10</v>
      </c>
      <c r="B12" s="24" t="s">
        <v>200</v>
      </c>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100"/>
      <c r="AW12" s="77"/>
      <c r="AX12" s="77"/>
      <c r="AY12" s="77"/>
      <c r="AZ12" s="77"/>
      <c r="BA12" s="77"/>
      <c r="BB12" s="77"/>
      <c r="BC12" s="77"/>
      <c r="BD12" s="77"/>
      <c r="BE12" s="77"/>
      <c r="BF12" s="77"/>
      <c r="BG12" s="77"/>
      <c r="BH12" s="77"/>
      <c r="BI12" s="77"/>
      <c r="BJ12" s="77"/>
      <c r="BK12" s="77"/>
      <c r="BL12" s="77"/>
      <c r="BM12" s="77"/>
      <c r="BN12" s="77"/>
      <c r="BO12" s="77"/>
      <c r="BP12" s="77"/>
      <c r="BQ12" s="77"/>
      <c r="BR12" s="77"/>
      <c r="BS12" s="77"/>
      <c r="BT12" s="77"/>
      <c r="BU12" s="77"/>
      <c r="BV12" s="77"/>
      <c r="BW12" s="77"/>
      <c r="BX12" s="77"/>
      <c r="BY12" s="77"/>
      <c r="BZ12" s="77"/>
      <c r="CA12" s="77"/>
      <c r="CB12" s="77"/>
      <c r="CC12" s="77"/>
      <c r="CD12" s="100"/>
      <c r="CE12" s="77"/>
      <c r="CF12" s="77"/>
      <c r="CG12" s="77"/>
      <c r="CH12" s="77"/>
      <c r="CI12" s="77"/>
      <c r="CJ12" s="77"/>
      <c r="CK12" s="77"/>
      <c r="CL12" s="62"/>
      <c r="CM12" s="62"/>
      <c r="CN12" s="62"/>
      <c r="CO12" s="62"/>
      <c r="CP12" s="62"/>
      <c r="CQ12" s="62"/>
      <c r="CR12" s="62"/>
      <c r="CS12" s="62"/>
      <c r="CT12" s="62"/>
      <c r="CU12" s="62"/>
      <c r="CV12" s="62"/>
      <c r="CW12" s="62"/>
      <c r="CX12" s="62"/>
      <c r="CY12" s="62"/>
      <c r="CZ12" s="62"/>
      <c r="DA12" s="62"/>
      <c r="DB12" s="62"/>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56"/>
      <c r="ED12" s="56"/>
      <c r="EE12" s="56"/>
      <c r="EF12" s="56"/>
      <c r="EG12" s="56"/>
      <c r="EH12" s="56"/>
      <c r="EI12" s="56"/>
      <c r="EJ12" s="56"/>
      <c r="EK12" s="56"/>
      <c r="EL12" s="56"/>
      <c r="EM12" s="56"/>
      <c r="EN12" s="56"/>
      <c r="EO12" s="56"/>
      <c r="EP12" s="56"/>
      <c r="EQ12" s="56"/>
      <c r="ER12" s="56"/>
      <c r="ES12" s="56"/>
      <c r="ET12" s="56"/>
      <c r="EU12" s="56"/>
      <c r="EV12" s="56"/>
    </row>
    <row r="13" spans="1:152" s="19" customFormat="1">
      <c r="A13" s="25">
        <v>11</v>
      </c>
      <c r="B13" s="22" t="s">
        <v>201</v>
      </c>
      <c r="C13" s="79" t="s">
        <v>388</v>
      </c>
      <c r="D13" s="79" t="s">
        <v>388</v>
      </c>
      <c r="E13" s="79" t="s">
        <v>386</v>
      </c>
      <c r="F13" s="79" t="s">
        <v>388</v>
      </c>
      <c r="G13" s="79"/>
      <c r="H13" s="79" t="s">
        <v>388</v>
      </c>
      <c r="I13" s="79" t="s">
        <v>388</v>
      </c>
      <c r="J13" s="79" t="s">
        <v>388</v>
      </c>
      <c r="K13" s="79"/>
      <c r="L13" s="79" t="s">
        <v>388</v>
      </c>
      <c r="M13" s="79" t="s">
        <v>388</v>
      </c>
      <c r="N13" s="79" t="s">
        <v>388</v>
      </c>
      <c r="O13" s="79"/>
      <c r="P13" s="79" t="s">
        <v>386</v>
      </c>
      <c r="Q13" s="79" t="s">
        <v>388</v>
      </c>
      <c r="R13" s="79" t="s">
        <v>386</v>
      </c>
      <c r="S13" s="79"/>
      <c r="T13" s="79"/>
      <c r="U13" s="80" t="s">
        <v>387</v>
      </c>
      <c r="V13" s="79" t="s">
        <v>388</v>
      </c>
      <c r="W13" s="80" t="s">
        <v>387</v>
      </c>
      <c r="X13" s="79" t="s">
        <v>386</v>
      </c>
      <c r="Y13" s="79"/>
      <c r="Z13" s="79"/>
      <c r="AA13" s="79"/>
      <c r="AB13" s="79"/>
      <c r="AC13" s="79"/>
      <c r="AD13" s="79"/>
      <c r="AE13" s="79"/>
      <c r="AF13" s="79"/>
      <c r="AG13" s="79"/>
      <c r="AH13" s="80" t="s">
        <v>402</v>
      </c>
      <c r="AI13" s="79"/>
      <c r="AJ13" s="79"/>
      <c r="AK13" s="79"/>
      <c r="AL13" s="79"/>
      <c r="AM13" s="79"/>
      <c r="AN13" s="79"/>
      <c r="AO13" s="79"/>
      <c r="AP13" s="79"/>
      <c r="AQ13" s="79"/>
      <c r="AR13" s="79"/>
      <c r="AS13" s="79" t="s">
        <v>386</v>
      </c>
      <c r="AT13" s="80" t="s">
        <v>387</v>
      </c>
      <c r="AU13" s="79"/>
      <c r="AV13" s="101" t="s">
        <v>388</v>
      </c>
      <c r="AW13" s="79" t="s">
        <v>386</v>
      </c>
      <c r="AX13" s="79"/>
      <c r="AY13" s="79"/>
      <c r="AZ13" s="79"/>
      <c r="BA13" s="79"/>
      <c r="BB13" s="79"/>
      <c r="BC13" s="79" t="s">
        <v>388</v>
      </c>
      <c r="BD13" s="79" t="s">
        <v>386</v>
      </c>
      <c r="BE13" s="79"/>
      <c r="BF13" s="79"/>
      <c r="BG13" s="79"/>
      <c r="BH13" s="79"/>
      <c r="BI13" s="79"/>
      <c r="BJ13" s="79"/>
      <c r="BK13" s="79"/>
      <c r="BL13" s="80" t="s">
        <v>387</v>
      </c>
      <c r="BM13" s="79" t="s">
        <v>386</v>
      </c>
      <c r="BN13" s="79" t="s">
        <v>386</v>
      </c>
      <c r="BO13" s="79" t="s">
        <v>386</v>
      </c>
      <c r="BP13" s="79" t="s">
        <v>388</v>
      </c>
      <c r="BQ13" s="79" t="s">
        <v>388</v>
      </c>
      <c r="BR13" s="79" t="s">
        <v>388</v>
      </c>
      <c r="BS13" s="79" t="s">
        <v>388</v>
      </c>
      <c r="BT13" s="79"/>
      <c r="BU13" s="79"/>
      <c r="BV13" s="79"/>
      <c r="BW13" s="79"/>
      <c r="BX13" s="79"/>
      <c r="BY13" s="79" t="s">
        <v>387</v>
      </c>
      <c r="BZ13" s="79" t="s">
        <v>387</v>
      </c>
      <c r="CA13" s="79"/>
      <c r="CB13" s="79"/>
      <c r="CC13" s="79" t="s">
        <v>386</v>
      </c>
      <c r="CD13" s="101" t="s">
        <v>386</v>
      </c>
      <c r="CE13" s="79" t="s">
        <v>386</v>
      </c>
      <c r="CF13" s="79"/>
      <c r="CG13" s="79"/>
      <c r="CH13" s="79"/>
      <c r="CI13" s="79"/>
      <c r="CJ13" s="79"/>
      <c r="CK13" s="79"/>
      <c r="CL13" s="63"/>
      <c r="CM13" s="20"/>
      <c r="CN13" s="20"/>
      <c r="CO13" s="20"/>
      <c r="CP13" s="20"/>
      <c r="CQ13" s="20"/>
      <c r="CR13" s="63"/>
      <c r="CS13" s="20"/>
      <c r="CT13" s="63"/>
      <c r="CU13" s="20"/>
      <c r="CV13" s="20"/>
      <c r="CW13" s="20"/>
      <c r="CX13" s="20"/>
      <c r="CY13" s="20"/>
      <c r="CZ13" s="63"/>
      <c r="DA13" s="63"/>
      <c r="DB13" s="63"/>
      <c r="DC13" s="79"/>
      <c r="DD13" s="79"/>
      <c r="DE13" s="79"/>
      <c r="DF13" s="79"/>
      <c r="DG13" s="80"/>
      <c r="DH13" s="81"/>
      <c r="DI13" s="81"/>
      <c r="DJ13" s="81"/>
      <c r="DK13" s="79"/>
      <c r="DL13" s="80"/>
      <c r="DM13" s="81"/>
      <c r="DN13" s="81"/>
      <c r="DO13" s="79"/>
      <c r="DP13" s="79"/>
      <c r="DQ13" s="79"/>
      <c r="DR13" s="79"/>
      <c r="DS13" s="79"/>
      <c r="DT13" s="79"/>
      <c r="DU13" s="80"/>
      <c r="DV13" s="80"/>
      <c r="DW13" s="81"/>
      <c r="DX13" s="81"/>
      <c r="DY13" s="81"/>
      <c r="DZ13" s="79"/>
      <c r="EA13" s="79"/>
      <c r="EB13" s="81"/>
      <c r="EC13" s="81"/>
      <c r="ED13" s="91"/>
      <c r="EE13" s="81"/>
      <c r="EF13" s="81"/>
      <c r="EG13" s="81"/>
      <c r="EH13" s="81"/>
      <c r="EI13" s="81"/>
      <c r="EJ13" s="81"/>
      <c r="EK13" s="81"/>
      <c r="EL13" s="81"/>
      <c r="EM13" s="81"/>
      <c r="EN13" s="81"/>
      <c r="EO13" s="81"/>
      <c r="EP13" s="81"/>
      <c r="EQ13" s="81"/>
      <c r="ER13" s="81"/>
      <c r="ES13" s="81"/>
      <c r="ET13" s="81"/>
      <c r="EU13" s="81"/>
      <c r="EV13" s="81"/>
    </row>
    <row r="14" spans="1:152" ht="226.75" customHeight="1">
      <c r="A14" s="23">
        <v>12</v>
      </c>
      <c r="B14" s="26" t="s">
        <v>202</v>
      </c>
      <c r="C14" s="131" t="s">
        <v>403</v>
      </c>
      <c r="D14" s="135" t="s">
        <v>404</v>
      </c>
      <c r="E14" s="131"/>
      <c r="F14" s="131" t="s">
        <v>405</v>
      </c>
      <c r="G14" s="131"/>
      <c r="H14" s="131" t="s">
        <v>406</v>
      </c>
      <c r="I14" s="131" t="s">
        <v>407</v>
      </c>
      <c r="J14" s="131" t="s">
        <v>408</v>
      </c>
      <c r="K14" s="131"/>
      <c r="L14" s="131" t="s">
        <v>409</v>
      </c>
      <c r="M14" s="133" t="s">
        <v>410</v>
      </c>
      <c r="N14" s="133" t="s">
        <v>411</v>
      </c>
      <c r="O14" s="131" t="s">
        <v>412</v>
      </c>
      <c r="P14" s="131"/>
      <c r="Q14" s="131" t="s">
        <v>413</v>
      </c>
      <c r="R14" s="133"/>
      <c r="S14" s="133"/>
      <c r="T14" s="133"/>
      <c r="U14" s="133" t="s">
        <v>414</v>
      </c>
      <c r="V14" s="131" t="s">
        <v>415</v>
      </c>
      <c r="W14" s="131" t="s">
        <v>416</v>
      </c>
      <c r="X14" s="131"/>
      <c r="Y14" s="131"/>
      <c r="Z14" s="131"/>
      <c r="AA14" s="131"/>
      <c r="AB14" s="131"/>
      <c r="AC14" s="131"/>
      <c r="AD14" s="131"/>
      <c r="AE14" s="131"/>
      <c r="AF14" s="131"/>
      <c r="AG14" s="131"/>
      <c r="AH14" s="131" t="s">
        <v>417</v>
      </c>
      <c r="AI14" s="133"/>
      <c r="AJ14" s="131"/>
      <c r="AK14" s="132"/>
      <c r="AL14" s="131"/>
      <c r="AM14" s="131"/>
      <c r="AN14" s="131"/>
      <c r="AO14" s="131"/>
      <c r="AP14" s="131"/>
      <c r="AQ14" s="131"/>
      <c r="AR14" s="131"/>
      <c r="AS14" s="131"/>
      <c r="AT14" s="82" t="s">
        <v>418</v>
      </c>
      <c r="AU14" s="131"/>
      <c r="AV14" s="138" t="s">
        <v>421</v>
      </c>
      <c r="AW14" s="131"/>
      <c r="AX14" s="131"/>
      <c r="AY14" s="131"/>
      <c r="AZ14" s="131"/>
      <c r="BA14" s="131"/>
      <c r="BB14" s="131"/>
      <c r="BC14" s="131" t="s">
        <v>422</v>
      </c>
      <c r="BD14" s="131"/>
      <c r="BE14" s="131"/>
      <c r="BF14" s="131"/>
      <c r="BG14" s="131"/>
      <c r="BH14" s="131"/>
      <c r="BI14" s="131"/>
      <c r="BJ14" s="131"/>
      <c r="BK14" s="131"/>
      <c r="BL14" s="131" t="s">
        <v>423</v>
      </c>
      <c r="BM14" s="131"/>
      <c r="BN14" s="133"/>
      <c r="BO14" s="134"/>
      <c r="BP14" s="133" t="s">
        <v>424</v>
      </c>
      <c r="BQ14" s="133" t="s">
        <v>425</v>
      </c>
      <c r="BR14" s="133" t="s">
        <v>426</v>
      </c>
      <c r="BS14" s="132" t="s">
        <v>427</v>
      </c>
      <c r="BT14" s="131"/>
      <c r="BU14" s="132"/>
      <c r="BV14" s="132"/>
      <c r="BW14" s="132"/>
      <c r="BX14" s="132"/>
      <c r="BY14" s="132" t="s">
        <v>428</v>
      </c>
      <c r="BZ14" s="132" t="s">
        <v>429</v>
      </c>
      <c r="CA14" s="132"/>
      <c r="CB14" s="132"/>
      <c r="CC14" s="132"/>
      <c r="CD14" s="138"/>
      <c r="CE14" s="131"/>
      <c r="CF14" s="131"/>
      <c r="CG14" s="131"/>
      <c r="CH14" s="131"/>
      <c r="CI14" s="131"/>
      <c r="CJ14" s="134"/>
      <c r="CK14" s="131"/>
      <c r="CL14" s="89"/>
      <c r="CM14" s="90"/>
      <c r="CN14" s="90"/>
      <c r="CO14" s="90"/>
      <c r="CP14" s="90"/>
      <c r="CQ14" s="90"/>
      <c r="CR14" s="89"/>
      <c r="CS14" s="89"/>
      <c r="CT14" s="89"/>
      <c r="CU14" s="90"/>
      <c r="CV14" s="90"/>
      <c r="CW14" s="90"/>
      <c r="CX14" s="90"/>
      <c r="CY14" s="90"/>
      <c r="CZ14" s="89"/>
      <c r="DA14" s="89"/>
      <c r="DB14" s="26"/>
      <c r="DC14" s="56"/>
      <c r="DD14" s="56"/>
      <c r="DE14" s="56"/>
      <c r="DF14" s="56"/>
      <c r="DG14" s="86"/>
      <c r="DH14" s="56"/>
      <c r="DI14" s="56"/>
      <c r="DJ14" s="56"/>
      <c r="DK14" s="56"/>
      <c r="DL14" s="56"/>
      <c r="DM14" s="56"/>
      <c r="DN14" s="56"/>
      <c r="DO14" s="56"/>
      <c r="DP14" s="56"/>
      <c r="DQ14" s="86"/>
      <c r="DR14" s="56"/>
      <c r="DS14" s="56"/>
      <c r="DT14" s="56"/>
      <c r="DU14" s="86"/>
      <c r="DV14" s="86"/>
      <c r="DW14" s="56"/>
      <c r="DX14" s="56"/>
      <c r="DY14" s="56"/>
      <c r="DZ14" s="56"/>
      <c r="EA14" s="86"/>
      <c r="EB14" s="56"/>
      <c r="EC14" s="56"/>
      <c r="ED14" s="86"/>
      <c r="EE14" s="56"/>
      <c r="EF14" s="56"/>
      <c r="EG14" s="56"/>
      <c r="EH14" s="56"/>
      <c r="EI14" s="56"/>
      <c r="EJ14" s="56"/>
      <c r="EK14" s="56"/>
      <c r="EL14" s="56"/>
      <c r="EM14" s="56"/>
      <c r="EN14" s="56"/>
      <c r="EO14" s="56"/>
      <c r="EP14" s="56"/>
      <c r="EQ14" s="56"/>
      <c r="ER14" s="56"/>
      <c r="ES14" s="56"/>
      <c r="ET14" s="56"/>
      <c r="EU14" s="56"/>
      <c r="EV14" s="56"/>
    </row>
    <row r="15" spans="1:152" ht="159.5">
      <c r="C15" s="131"/>
      <c r="D15" s="135"/>
      <c r="E15" s="131"/>
      <c r="F15" s="131"/>
      <c r="G15" s="131"/>
      <c r="H15" s="131"/>
      <c r="I15" s="131"/>
      <c r="J15" s="131"/>
      <c r="K15" s="131"/>
      <c r="L15" s="131"/>
      <c r="M15" s="133"/>
      <c r="N15" s="133"/>
      <c r="O15" s="131"/>
      <c r="P15" s="131"/>
      <c r="Q15" s="131"/>
      <c r="R15" s="133"/>
      <c r="S15" s="133"/>
      <c r="T15" s="133"/>
      <c r="U15" s="133"/>
      <c r="V15" s="131"/>
      <c r="W15" s="131"/>
      <c r="X15" s="131"/>
      <c r="Y15" s="131"/>
      <c r="Z15" s="131"/>
      <c r="AA15" s="131"/>
      <c r="AB15" s="131"/>
      <c r="AC15" s="131"/>
      <c r="AD15" s="131"/>
      <c r="AE15" s="131"/>
      <c r="AF15" s="131"/>
      <c r="AG15" s="131"/>
      <c r="AH15" s="131"/>
      <c r="AI15" s="133"/>
      <c r="AJ15" s="131"/>
      <c r="AK15" s="132"/>
      <c r="AL15" s="131"/>
      <c r="AM15" s="131"/>
      <c r="AN15" s="131"/>
      <c r="AO15" s="131"/>
      <c r="AP15" s="131"/>
      <c r="AQ15" s="131"/>
      <c r="AR15" s="131"/>
      <c r="AS15" s="131"/>
      <c r="AT15" s="82" t="s">
        <v>419</v>
      </c>
      <c r="AU15" s="131"/>
      <c r="AV15" s="138"/>
      <c r="AW15" s="131"/>
      <c r="AX15" s="131"/>
      <c r="AY15" s="131"/>
      <c r="AZ15" s="131"/>
      <c r="BA15" s="131"/>
      <c r="BB15" s="131"/>
      <c r="BC15" s="131"/>
      <c r="BD15" s="131"/>
      <c r="BE15" s="131"/>
      <c r="BF15" s="131"/>
      <c r="BG15" s="131"/>
      <c r="BH15" s="131"/>
      <c r="BI15" s="131"/>
      <c r="BJ15" s="131"/>
      <c r="BK15" s="131"/>
      <c r="BL15" s="131"/>
      <c r="BM15" s="131"/>
      <c r="BN15" s="133"/>
      <c r="BO15" s="134"/>
      <c r="BP15" s="133"/>
      <c r="BQ15" s="133"/>
      <c r="BR15" s="133"/>
      <c r="BS15" s="132"/>
      <c r="BT15" s="131"/>
      <c r="BU15" s="132"/>
      <c r="BV15" s="132"/>
      <c r="BW15" s="132"/>
      <c r="BX15" s="132"/>
      <c r="BY15" s="132"/>
      <c r="BZ15" s="132"/>
      <c r="CA15" s="132"/>
      <c r="CB15" s="132"/>
      <c r="CC15" s="132"/>
      <c r="CD15" s="138"/>
      <c r="CE15" s="131"/>
      <c r="CF15" s="131"/>
      <c r="CG15" s="131"/>
      <c r="CH15" s="131"/>
      <c r="CI15" s="131"/>
      <c r="CJ15" s="134"/>
      <c r="CK15" s="131"/>
    </row>
    <row r="16" spans="1:152" ht="145">
      <c r="C16" s="131"/>
      <c r="D16" s="135"/>
      <c r="E16" s="131"/>
      <c r="F16" s="131"/>
      <c r="G16" s="131"/>
      <c r="H16" s="131"/>
      <c r="I16" s="131"/>
      <c r="J16" s="131"/>
      <c r="K16" s="131"/>
      <c r="L16" s="131"/>
      <c r="M16" s="133"/>
      <c r="N16" s="133"/>
      <c r="O16" s="131"/>
      <c r="P16" s="131"/>
      <c r="Q16" s="131"/>
      <c r="R16" s="133"/>
      <c r="S16" s="133"/>
      <c r="T16" s="133"/>
      <c r="U16" s="133"/>
      <c r="V16" s="131"/>
      <c r="W16" s="131"/>
      <c r="X16" s="131"/>
      <c r="Y16" s="131"/>
      <c r="Z16" s="131"/>
      <c r="AA16" s="131"/>
      <c r="AB16" s="131"/>
      <c r="AC16" s="131"/>
      <c r="AD16" s="131"/>
      <c r="AE16" s="131"/>
      <c r="AF16" s="131"/>
      <c r="AG16" s="131"/>
      <c r="AH16" s="131"/>
      <c r="AI16" s="133"/>
      <c r="AJ16" s="131"/>
      <c r="AK16" s="132"/>
      <c r="AL16" s="131"/>
      <c r="AM16" s="131"/>
      <c r="AN16" s="131"/>
      <c r="AO16" s="131"/>
      <c r="AP16" s="131"/>
      <c r="AQ16" s="131"/>
      <c r="AR16" s="131"/>
      <c r="AS16" s="131"/>
      <c r="AT16" s="82" t="s">
        <v>420</v>
      </c>
      <c r="AU16" s="131"/>
      <c r="AV16" s="138"/>
      <c r="AW16" s="131"/>
      <c r="AX16" s="131"/>
      <c r="AY16" s="131"/>
      <c r="AZ16" s="131"/>
      <c r="BA16" s="131"/>
      <c r="BB16" s="131"/>
      <c r="BC16" s="131"/>
      <c r="BD16" s="131"/>
      <c r="BE16" s="131"/>
      <c r="BF16" s="131"/>
      <c r="BG16" s="131"/>
      <c r="BH16" s="131"/>
      <c r="BI16" s="131"/>
      <c r="BJ16" s="131"/>
      <c r="BK16" s="131"/>
      <c r="BL16" s="131"/>
      <c r="BM16" s="131"/>
      <c r="BN16" s="133"/>
      <c r="BO16" s="134"/>
      <c r="BP16" s="133"/>
      <c r="BQ16" s="133"/>
      <c r="BR16" s="133"/>
      <c r="BS16" s="132"/>
      <c r="BT16" s="131"/>
      <c r="BU16" s="132"/>
      <c r="BV16" s="132"/>
      <c r="BW16" s="132"/>
      <c r="BX16" s="132"/>
      <c r="BY16" s="132"/>
      <c r="BZ16" s="132"/>
      <c r="CA16" s="132"/>
      <c r="CB16" s="132"/>
      <c r="CC16" s="132"/>
      <c r="CD16" s="138"/>
      <c r="CE16" s="131"/>
      <c r="CF16" s="131"/>
      <c r="CG16" s="131"/>
      <c r="CH16" s="131"/>
      <c r="CI16" s="131"/>
      <c r="CJ16" s="134"/>
      <c r="CK16" s="131"/>
    </row>
    <row r="17" spans="3:80">
      <c r="C17" s="82"/>
      <c r="D17" s="83"/>
      <c r="E17" s="82"/>
      <c r="F17" s="82"/>
      <c r="G17" s="82"/>
      <c r="H17" s="82"/>
      <c r="I17" s="82"/>
      <c r="J17" s="82"/>
      <c r="K17" s="82"/>
      <c r="L17" s="84"/>
      <c r="M17" s="84"/>
      <c r="N17" s="82"/>
      <c r="O17" s="82"/>
      <c r="P17" s="84"/>
      <c r="Q17" s="84"/>
      <c r="R17" s="82"/>
      <c r="S17" s="82"/>
      <c r="T17" s="82"/>
      <c r="U17" s="84"/>
      <c r="V17" s="82"/>
      <c r="W17" s="85"/>
      <c r="X17" s="82"/>
      <c r="Y17" s="82"/>
      <c r="Z17" s="82"/>
      <c r="AA17" s="82"/>
      <c r="AB17" s="82"/>
      <c r="AC17" s="82"/>
      <c r="AD17" s="82"/>
      <c r="AE17" s="82"/>
      <c r="AF17" s="84"/>
      <c r="AG17" s="84"/>
      <c r="AH17" s="85"/>
      <c r="AI17" s="82"/>
      <c r="AJ17" s="85"/>
      <c r="AK17" s="82"/>
      <c r="AL17" s="82"/>
      <c r="AM17" s="82"/>
      <c r="AN17" s="82"/>
      <c r="AO17" s="56"/>
      <c r="AP17" s="82"/>
      <c r="AQ17" s="82"/>
      <c r="AR17" s="85"/>
      <c r="AS17" s="82"/>
      <c r="AT17" s="82"/>
      <c r="AU17" s="82"/>
      <c r="AV17" s="82"/>
      <c r="AW17" s="82"/>
      <c r="AX17" s="82"/>
      <c r="AY17" s="84"/>
      <c r="AZ17" s="82"/>
      <c r="BA17" s="82"/>
      <c r="BB17" s="82"/>
      <c r="BC17" s="84"/>
      <c r="BD17" s="84"/>
      <c r="BE17" s="82"/>
      <c r="BF17" s="84"/>
      <c r="BG17" s="82"/>
      <c r="BH17" s="84"/>
      <c r="BI17" s="56"/>
      <c r="BJ17" s="82"/>
      <c r="BK17" s="56"/>
      <c r="BL17" s="82"/>
      <c r="BM17" s="56"/>
      <c r="BN17" s="56"/>
      <c r="BO17" s="56"/>
      <c r="BP17" s="56"/>
      <c r="BQ17" s="56"/>
      <c r="BR17" s="56"/>
      <c r="BS17" s="56"/>
      <c r="BT17" s="56"/>
      <c r="BU17" s="56"/>
      <c r="BV17" s="56"/>
      <c r="BW17" s="56"/>
      <c r="BX17" s="82"/>
      <c r="BY17" s="56"/>
      <c r="BZ17" s="56"/>
      <c r="CA17" s="56"/>
      <c r="CB17" s="56"/>
    </row>
  </sheetData>
  <mergeCells count="86">
    <mergeCell ref="H14:H16"/>
    <mergeCell ref="C14:C16"/>
    <mergeCell ref="D14:D16"/>
    <mergeCell ref="E14:E16"/>
    <mergeCell ref="F14:F16"/>
    <mergeCell ref="G14:G16"/>
    <mergeCell ref="T14:T16"/>
    <mergeCell ref="I14:I16"/>
    <mergeCell ref="J14:J16"/>
    <mergeCell ref="K14:K16"/>
    <mergeCell ref="L14:L16"/>
    <mergeCell ref="M14:M16"/>
    <mergeCell ref="N14:N16"/>
    <mergeCell ref="O14:O16"/>
    <mergeCell ref="P14:P16"/>
    <mergeCell ref="Q14:Q16"/>
    <mergeCell ref="R14:R16"/>
    <mergeCell ref="S14:S16"/>
    <mergeCell ref="AF14:AF16"/>
    <mergeCell ref="U14:U16"/>
    <mergeCell ref="V14:V16"/>
    <mergeCell ref="W14:W16"/>
    <mergeCell ref="X14:X16"/>
    <mergeCell ref="Y14:Y16"/>
    <mergeCell ref="Z14:Z16"/>
    <mergeCell ref="AA14:AA16"/>
    <mergeCell ref="AB14:AB16"/>
    <mergeCell ref="AC14:AC16"/>
    <mergeCell ref="AD14:AD16"/>
    <mergeCell ref="AE14:AE16"/>
    <mergeCell ref="AR14:AR16"/>
    <mergeCell ref="AG14:AG16"/>
    <mergeCell ref="AH14:AH16"/>
    <mergeCell ref="AI14:AI16"/>
    <mergeCell ref="AJ14:AJ16"/>
    <mergeCell ref="AK14:AK16"/>
    <mergeCell ref="AL14:AL16"/>
    <mergeCell ref="AM14:AM16"/>
    <mergeCell ref="AN14:AN16"/>
    <mergeCell ref="AO14:AO16"/>
    <mergeCell ref="AP14:AP16"/>
    <mergeCell ref="AQ14:AQ16"/>
    <mergeCell ref="BE14:BE16"/>
    <mergeCell ref="AS14:AS16"/>
    <mergeCell ref="AU14:AU16"/>
    <mergeCell ref="AV14:AV16"/>
    <mergeCell ref="AW14:AW16"/>
    <mergeCell ref="AX14:AX16"/>
    <mergeCell ref="AY14:AY16"/>
    <mergeCell ref="AZ14:AZ16"/>
    <mergeCell ref="BA14:BA16"/>
    <mergeCell ref="BB14:BB16"/>
    <mergeCell ref="BC14:BC16"/>
    <mergeCell ref="BD14:BD16"/>
    <mergeCell ref="BQ14:BQ16"/>
    <mergeCell ref="BF14:BF16"/>
    <mergeCell ref="BG14:BG16"/>
    <mergeCell ref="BH14:BH16"/>
    <mergeCell ref="BI14:BI16"/>
    <mergeCell ref="BJ14:BJ16"/>
    <mergeCell ref="BK14:BK16"/>
    <mergeCell ref="BL14:BL16"/>
    <mergeCell ref="BM14:BM16"/>
    <mergeCell ref="BN14:BN16"/>
    <mergeCell ref="BO14:BO16"/>
    <mergeCell ref="BP14:BP16"/>
    <mergeCell ref="CC14:CC16"/>
    <mergeCell ref="BR14:BR16"/>
    <mergeCell ref="BS14:BS16"/>
    <mergeCell ref="BT14:BT16"/>
    <mergeCell ref="BU14:BU16"/>
    <mergeCell ref="BV14:BV16"/>
    <mergeCell ref="BW14:BW16"/>
    <mergeCell ref="BX14:BX16"/>
    <mergeCell ref="BY14:BY16"/>
    <mergeCell ref="BZ14:BZ16"/>
    <mergeCell ref="CA14:CA16"/>
    <mergeCell ref="CB14:CB16"/>
    <mergeCell ref="CJ14:CJ16"/>
    <mergeCell ref="CK14:CK16"/>
    <mergeCell ref="CD14:CD16"/>
    <mergeCell ref="CE14:CE16"/>
    <mergeCell ref="CF14:CF16"/>
    <mergeCell ref="CG14:CG16"/>
    <mergeCell ref="CH14:CH16"/>
    <mergeCell ref="CI14:CI16"/>
  </mergeCells>
  <phoneticPr fontId="23" type="noConversion"/>
  <conditionalFormatting sqref="A13:B13 CL13:DB13 EW13:XFD13">
    <cfRule type="cellIs" dxfId="17" priority="32" operator="equal">
      <formula>"Not Pass"</formula>
    </cfRule>
  </conditionalFormatting>
  <conditionalFormatting sqref="A13:B13">
    <cfRule type="cellIs" dxfId="16" priority="111" operator="equal">
      <formula>"No"</formula>
    </cfRule>
    <cfRule type="cellIs" dxfId="15" priority="112" operator="equal">
      <formula>"Yes"</formula>
    </cfRule>
  </conditionalFormatting>
  <conditionalFormatting sqref="CL3:CT12 CZ3:DB12 CL13:CQ13 CS13">
    <cfRule type="cellIs" dxfId="14" priority="13" operator="equal">
      <formula>"O"</formula>
    </cfRule>
  </conditionalFormatting>
  <conditionalFormatting sqref="CL3:DB14">
    <cfRule type="cellIs" dxfId="13" priority="34" operator="equal">
      <formula>"No"</formula>
    </cfRule>
    <cfRule type="cellIs" dxfId="12" priority="35" operator="equal">
      <formula>"Yes"</formula>
    </cfRule>
  </conditionalFormatting>
  <conditionalFormatting sqref="CR3:DB13">
    <cfRule type="cellIs" dxfId="11" priority="1" operator="equal">
      <formula>"O"</formula>
    </cfRule>
  </conditionalFormatting>
  <conditionalFormatting sqref="EW13:XFD13">
    <cfRule type="cellIs" dxfId="10" priority="30" operator="equal">
      <formula>"No"</formula>
    </cfRule>
    <cfRule type="cellIs" dxfId="9" priority="31" operator="equal">
      <formula>"Yes"</formula>
    </cfRule>
  </conditionalFormatting>
  <dataValidations count="2">
    <dataValidation type="list" allowBlank="1" showInputMessage="1" showErrorMessage="1" sqref="CL3:DB12" xr:uid="{681296DE-4A2D-4646-9A8F-606C22F88219}">
      <formula1>"X,O,N/A"</formula1>
    </dataValidation>
    <dataValidation type="list" allowBlank="1" showInputMessage="1" showErrorMessage="1" sqref="CL13:DB13" xr:uid="{1FCDCFB4-F251-478D-8B84-35D8290AAF1C}">
      <formula1>"Pass,Not Pass, Consider"</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CEEF4-B953-41F5-A941-C8CB62F512A6}">
  <dimension ref="A1:AL75"/>
  <sheetViews>
    <sheetView topLeftCell="C1" zoomScale="104" zoomScaleNormal="104" workbookViewId="0">
      <selection activeCell="H9" sqref="H9"/>
    </sheetView>
  </sheetViews>
  <sheetFormatPr defaultRowHeight="14.5"/>
  <cols>
    <col min="1" max="1" width="5.7265625" customWidth="1"/>
    <col min="2" max="2" width="13.1796875" customWidth="1"/>
    <col min="3" max="3" width="43.81640625" customWidth="1"/>
    <col min="4" max="4" width="39.36328125" customWidth="1"/>
    <col min="5" max="5" width="10.7265625" customWidth="1"/>
    <col min="6" max="6" width="34.6328125" style="6" customWidth="1"/>
    <col min="7" max="7" width="11.81640625" style="2" customWidth="1"/>
    <col min="8" max="8" width="25.90625" style="2" customWidth="1"/>
    <col min="9" max="9" width="7" style="2" customWidth="1"/>
    <col min="10" max="10" width="15.26953125" style="59" customWidth="1"/>
    <col min="11" max="11" width="14" style="59" customWidth="1"/>
    <col min="12" max="12" width="14.1796875" style="2" customWidth="1"/>
    <col min="13" max="13" width="9.90625" style="2" customWidth="1"/>
    <col min="14" max="14" width="10.1796875" style="2" customWidth="1"/>
    <col min="15" max="15" width="9.7265625" style="2" customWidth="1"/>
    <col min="16" max="16" width="10" style="2" customWidth="1"/>
    <col min="17" max="17" width="13.54296875" style="2" customWidth="1"/>
    <col min="18" max="18" width="12.54296875" style="2" customWidth="1"/>
    <col min="19" max="19" width="13.1796875" style="2" customWidth="1"/>
    <col min="20" max="20" width="8.26953125" hidden="1" customWidth="1"/>
    <col min="21" max="21" width="13.36328125" hidden="1" customWidth="1"/>
    <col min="22" max="22" width="10.81640625" hidden="1" customWidth="1"/>
    <col min="23" max="23" width="12.81640625" hidden="1" customWidth="1"/>
    <col min="24" max="24" width="117.1796875" hidden="1" customWidth="1"/>
    <col min="25" max="25" width="255.6328125" hidden="1" customWidth="1"/>
    <col min="26" max="26" width="206.7265625" hidden="1" customWidth="1"/>
    <col min="27" max="27" width="13.1796875" hidden="1" customWidth="1"/>
    <col min="28" max="28" width="255.6328125" hidden="1" customWidth="1"/>
    <col min="29" max="38" width="8.7265625" hidden="1" customWidth="1"/>
    <col min="39" max="43" width="8.7265625" customWidth="1"/>
  </cols>
  <sheetData>
    <row r="1" spans="1:28" ht="19" thickBot="1">
      <c r="B1" s="139" t="s">
        <v>0</v>
      </c>
      <c r="C1" s="140"/>
      <c r="D1" s="141"/>
      <c r="E1" s="141"/>
      <c r="F1" s="142"/>
      <c r="G1" s="141"/>
      <c r="H1" s="139"/>
      <c r="I1" s="67"/>
      <c r="J1" s="57"/>
      <c r="K1" s="57"/>
      <c r="L1" s="14"/>
      <c r="M1" s="14"/>
      <c r="N1" s="14"/>
      <c r="O1" s="14"/>
      <c r="P1" s="14"/>
      <c r="Q1" s="14"/>
      <c r="R1" s="14"/>
      <c r="S1" s="14"/>
    </row>
    <row r="2" spans="1:28">
      <c r="A2" s="68" t="s">
        <v>38</v>
      </c>
      <c r="B2" s="104" t="s">
        <v>1</v>
      </c>
      <c r="C2" s="105" t="s">
        <v>2</v>
      </c>
      <c r="D2" s="106" t="s">
        <v>3</v>
      </c>
      <c r="E2" s="106" t="s">
        <v>50</v>
      </c>
      <c r="F2" s="107" t="s">
        <v>4</v>
      </c>
      <c r="G2" s="106" t="s">
        <v>226</v>
      </c>
      <c r="H2" s="108" t="s">
        <v>227</v>
      </c>
      <c r="I2" s="104" t="s">
        <v>222</v>
      </c>
      <c r="J2" s="109" t="s">
        <v>187</v>
      </c>
      <c r="K2" s="109" t="s">
        <v>5</v>
      </c>
      <c r="L2" s="110" t="s">
        <v>206</v>
      </c>
      <c r="M2" s="107" t="s">
        <v>6</v>
      </c>
      <c r="N2" s="107" t="s">
        <v>188</v>
      </c>
      <c r="O2" s="107" t="s">
        <v>207</v>
      </c>
      <c r="P2" s="65" t="s">
        <v>214</v>
      </c>
      <c r="Q2" s="107" t="s">
        <v>205</v>
      </c>
      <c r="R2" s="65" t="s">
        <v>213</v>
      </c>
      <c r="S2" s="65" t="s">
        <v>208</v>
      </c>
      <c r="T2" s="64" t="s">
        <v>24</v>
      </c>
      <c r="U2" s="64" t="s">
        <v>225</v>
      </c>
      <c r="V2" s="64" t="s">
        <v>16</v>
      </c>
      <c r="W2" s="64" t="s">
        <v>19</v>
      </c>
      <c r="X2" s="66" t="s">
        <v>209</v>
      </c>
      <c r="Y2" s="66" t="s">
        <v>210</v>
      </c>
      <c r="Z2" s="66" t="s">
        <v>211</v>
      </c>
      <c r="AA2" s="66" t="s">
        <v>212</v>
      </c>
      <c r="AB2" s="66"/>
    </row>
    <row r="3" spans="1:28" s="69" customFormat="1" ht="15.5">
      <c r="A3" s="111">
        <v>1</v>
      </c>
      <c r="B3" s="112" t="s">
        <v>229</v>
      </c>
      <c r="C3" s="113"/>
      <c r="D3" s="113"/>
      <c r="E3" s="112" t="s">
        <v>53</v>
      </c>
      <c r="F3" s="112"/>
      <c r="G3" s="112"/>
      <c r="H3" s="114"/>
      <c r="I3" s="115">
        <v>1</v>
      </c>
      <c r="J3" s="103" t="s">
        <v>225</v>
      </c>
      <c r="K3" s="71" t="s">
        <v>19</v>
      </c>
      <c r="L3" s="70"/>
      <c r="M3" s="70" t="b">
        <f t="shared" ref="M3:M34" si="0">OR(J3=G3,J3=H3,K3=G3,K3=H3)</f>
        <v>0</v>
      </c>
      <c r="N3" s="116" t="str" cm="1">
        <f t="array" ref="N3">_xlfn.IFS(J3="TaiNT51",T3,J3="HuongNTC2",U3,J3="KhanhKT",V3,J3="PhuongLHK",W3)</f>
        <v>Consider</v>
      </c>
      <c r="O3" s="116" t="str" cm="1">
        <f t="array" ref="O3">_xlfn.IFS(K3="TaiNT51",T3,K3="HuongNTC2",U3,K3="KhanhKT",V3,K3="PhuongLHK",W3)</f>
        <v>Not Pass</v>
      </c>
      <c r="P3" s="70" cm="1">
        <f t="array" ref="P3">_xlfn.IFS(N3="Pass",1,N3="Not Pass",-1,N3="Consider",0)+_xlfn.IFS(O3="Pass",1,O3="Not Pass",-1,O3="Consider",0)</f>
        <v>-1</v>
      </c>
      <c r="Q3" s="116" t="str">
        <f t="shared" ref="Q3:Q34" si="1">IF(ISBLANK(L3),"",HLOOKUP(L3,result_table_full,ROW()-1))</f>
        <v/>
      </c>
      <c r="R3" s="70" cm="1">
        <f t="array" ref="R3">P3+_xlfn.IFS(Q3="Pass",1,Q3="Not Pass",-1,TRUE,0)</f>
        <v>-1</v>
      </c>
      <c r="S3" s="116" t="str" cm="1">
        <f t="array" ref="S3">_xlfn.IFS(R3&gt;0,"Pass",R3=0,"Consider",R3&lt;0,"Not Pass")</f>
        <v>Not Pass</v>
      </c>
      <c r="T3" s="69">
        <f t="shared" ref="T3:T34" si="2">HLOOKUP(B3,reviewer1_result,12)</f>
        <v>0</v>
      </c>
      <c r="U3" s="69" t="str">
        <f t="shared" ref="U3:U34" si="3">HLOOKUP(B3,reviewer2_result,12)</f>
        <v>Consider</v>
      </c>
      <c r="V3" s="69">
        <f t="shared" ref="V3:V34" si="4">HLOOKUP(B3,reviewer3_result,12)</f>
        <v>0</v>
      </c>
      <c r="W3" s="69" t="str">
        <f t="shared" ref="W3:W34" si="5">HLOOKUP(B3,reviewer4_result,12)</f>
        <v>Not Pass</v>
      </c>
      <c r="X3" s="69">
        <f t="shared" ref="X3:X34" si="6">HLOOKUP(B3,reviewer1_result,13)</f>
        <v>0</v>
      </c>
      <c r="Y3" s="69" t="str">
        <f t="shared" ref="Y3:Y34" si="7">HLOOKUP($B3,reviewer2_result,13)</f>
        <v xml:space="preserve">Đề tài đã thực hiện 2 lần thành công &amp; là đề tài SWP391. Cần cân nhắc. </v>
      </c>
      <c r="Z3" s="69">
        <f t="shared" ref="Z3:Z34" si="8">HLOOKUP($B3,reviewer3_result,13)</f>
        <v>0</v>
      </c>
      <c r="AA3" s="69" t="str">
        <f t="shared" ref="AA3:AA34" si="9">HLOOKUP($B3,reviewer4_result,13)</f>
        <v>Đề tài này đã thực hiện ở Capstone và cả SWP391</v>
      </c>
      <c r="AB3" s="69" t="str">
        <f t="shared" ref="AB3:AB34" si="10">X3&amp;Y3&amp;Z3&amp;AA3</f>
        <v>0Đề tài đã thực hiện 2 lần thành công &amp; là đề tài SWP391. Cần cân nhắc. 0Đề tài này đã thực hiện ở Capstone và cả SWP391</v>
      </c>
    </row>
    <row r="4" spans="1:28" s="69" customFormat="1" ht="15.5">
      <c r="A4" s="111">
        <v>2</v>
      </c>
      <c r="B4" s="112" t="s">
        <v>230</v>
      </c>
      <c r="C4" s="113"/>
      <c r="D4" s="113"/>
      <c r="E4" s="112" t="s">
        <v>53</v>
      </c>
      <c r="F4" s="112"/>
      <c r="G4" s="112"/>
      <c r="H4" s="114"/>
      <c r="I4" s="115">
        <v>1</v>
      </c>
      <c r="J4" s="103" t="s">
        <v>225</v>
      </c>
      <c r="K4" s="71" t="s">
        <v>221</v>
      </c>
      <c r="L4" s="70"/>
      <c r="M4" s="70" t="b">
        <f t="shared" si="0"/>
        <v>0</v>
      </c>
      <c r="N4" s="116" t="str" cm="1">
        <f t="array" ref="N4">_xlfn.IFS(J4="TaiNT51",T4,J4="HuongNTC2",U4,J4="KhanhKT",V4,J4="PhuongLHK",W4)</f>
        <v>Consider</v>
      </c>
      <c r="O4" s="116" t="str" cm="1">
        <f t="array" ref="O4">_xlfn.IFS(K4="TaiNT51",T4,K4="HuongNTC2",U4,K4="KhanhKT",V4,K4="PhuongLHK",W4)</f>
        <v>Pass</v>
      </c>
      <c r="P4" s="70" cm="1">
        <f t="array" ref="P4">_xlfn.IFS(N4="Pass",1,N4="Not Pass",-1,N4="Consider",0)+_xlfn.IFS(O4="Pass",1,O4="Not Pass",-1,O4="Consider",0)</f>
        <v>1</v>
      </c>
      <c r="Q4" s="116" t="str">
        <f t="shared" si="1"/>
        <v/>
      </c>
      <c r="R4" s="70" cm="1">
        <f t="array" ref="R4">P4+_xlfn.IFS(Q4="Pass",1,Q4="Not Pass",-1,TRUE,0)</f>
        <v>1</v>
      </c>
      <c r="S4" s="116" t="str" cm="1">
        <f t="array" ref="S4">_xlfn.IFS(R4&gt;0,"Pass",R4=0,"Consider",R4&lt;0,"Not Pass")</f>
        <v>Pass</v>
      </c>
      <c r="T4" s="69" t="str">
        <f t="shared" si="2"/>
        <v>Pass</v>
      </c>
      <c r="U4" s="69" t="str">
        <f t="shared" si="3"/>
        <v>Consider</v>
      </c>
      <c r="V4" s="69">
        <f t="shared" si="4"/>
        <v>0</v>
      </c>
      <c r="W4" s="69">
        <f t="shared" si="5"/>
        <v>0</v>
      </c>
      <c r="X4" s="69">
        <f t="shared" si="6"/>
        <v>0</v>
      </c>
      <c r="Y4" s="69" t="str">
        <f t="shared" si="7"/>
        <v>Cần cân nhắc, đề tài đã thực hiện nhiều lần. Bổ sung tính năng mới, kết hợp AI</v>
      </c>
      <c r="Z4" s="69">
        <f t="shared" si="8"/>
        <v>0</v>
      </c>
      <c r="AA4" s="69">
        <f t="shared" si="9"/>
        <v>0</v>
      </c>
      <c r="AB4" s="69" t="str">
        <f t="shared" si="10"/>
        <v>0Cần cân nhắc, đề tài đã thực hiện nhiều lần. Bổ sung tính năng mới, kết hợp AI00</v>
      </c>
    </row>
    <row r="5" spans="1:28" s="69" customFormat="1" ht="15.5">
      <c r="A5" s="111">
        <v>3</v>
      </c>
      <c r="B5" s="112" t="s">
        <v>231</v>
      </c>
      <c r="C5" s="113"/>
      <c r="D5" s="113"/>
      <c r="E5" s="112" t="s">
        <v>53</v>
      </c>
      <c r="F5" s="112"/>
      <c r="G5" s="112"/>
      <c r="H5" s="114"/>
      <c r="I5" s="115">
        <v>1</v>
      </c>
      <c r="J5" s="103" t="s">
        <v>225</v>
      </c>
      <c r="K5" s="71" t="s">
        <v>16</v>
      </c>
      <c r="L5" s="70"/>
      <c r="M5" s="70" t="b">
        <f t="shared" si="0"/>
        <v>0</v>
      </c>
      <c r="N5" s="116" t="str" cm="1">
        <f t="array" ref="N5">_xlfn.IFS(J5="TaiNT51",T5,J5="HuongNTC2",U5,J5="KhanhKT",V5,J5="PhuongLHK",W5)</f>
        <v>Pass</v>
      </c>
      <c r="O5" s="116" t="str" cm="1">
        <f t="array" ref="O5">_xlfn.IFS(K5="TaiNT51",T5,K5="HuongNTC2",U5,K5="KhanhKT",V5,K5="PhuongLHK",W5)</f>
        <v>Consider</v>
      </c>
      <c r="P5" s="70" cm="1">
        <f t="array" ref="P5">_xlfn.IFS(N5="Pass",1,N5="Not Pass",-1,N5="Consider",0)+_xlfn.IFS(O5="Pass",1,O5="Not Pass",-1,O5="Consider",0)</f>
        <v>1</v>
      </c>
      <c r="Q5" s="116" t="str">
        <f t="shared" si="1"/>
        <v/>
      </c>
      <c r="R5" s="70" cm="1">
        <f t="array" ref="R5">P5+_xlfn.IFS(Q5="Pass",1,Q5="Not Pass",-1,TRUE,0)</f>
        <v>1</v>
      </c>
      <c r="S5" s="116" t="str" cm="1">
        <f t="array" ref="S5">_xlfn.IFS(R5&gt;0,"Pass",R5=0,"Consider",R5&lt;0,"Not Pass")</f>
        <v>Pass</v>
      </c>
      <c r="T5" s="69">
        <f t="shared" si="2"/>
        <v>0</v>
      </c>
      <c r="U5" s="69" t="str">
        <f t="shared" si="3"/>
        <v>Pass</v>
      </c>
      <c r="V5" s="69" t="str">
        <f t="shared" si="4"/>
        <v>Consider</v>
      </c>
      <c r="W5" s="69">
        <f t="shared" si="5"/>
        <v>0</v>
      </c>
      <c r="X5" s="69">
        <f t="shared" si="6"/>
        <v>0</v>
      </c>
      <c r="Y5" s="69">
        <f t="shared" si="7"/>
        <v>0</v>
      </c>
      <c r="Z5" s="69" t="str">
        <f t="shared" si="8"/>
        <v>- CẦN CÂN NHẮC THẬT KỸ VỀ vấn đề về bản quyền và SHTT vì vấn đề này rất nhạy cảm với các trang web lậu đã bị bắt khi làm về vấn đề này. Đây là một trong qui định đã được ban hành khi làm và chịu trách nhiệm về đề tài.</v>
      </c>
      <c r="AA5" s="69">
        <f t="shared" si="9"/>
        <v>0</v>
      </c>
      <c r="AB5" s="69" t="str">
        <f t="shared" si="10"/>
        <v>00- CẦN CÂN NHẮC THẬT KỸ VỀ vấn đề về bản quyền và SHTT vì vấn đề này rất nhạy cảm với các trang web lậu đã bị bắt khi làm về vấn đề này. Đây là một trong qui định đã được ban hành khi làm và chịu trách nhiệm về đề tài.0</v>
      </c>
    </row>
    <row r="6" spans="1:28" s="69" customFormat="1" ht="15.5">
      <c r="A6" s="111">
        <v>4</v>
      </c>
      <c r="B6" s="112" t="s">
        <v>232</v>
      </c>
      <c r="C6" s="117"/>
      <c r="D6" s="117"/>
      <c r="E6" s="112" t="s">
        <v>53</v>
      </c>
      <c r="F6" s="112"/>
      <c r="G6" s="112"/>
      <c r="H6" s="114"/>
      <c r="I6" s="115">
        <v>1</v>
      </c>
      <c r="J6" s="103" t="s">
        <v>225</v>
      </c>
      <c r="K6" s="71" t="s">
        <v>16</v>
      </c>
      <c r="L6" s="70"/>
      <c r="M6" s="70" t="b">
        <f t="shared" si="0"/>
        <v>0</v>
      </c>
      <c r="N6" s="116" t="str" cm="1">
        <f t="array" ref="N6">_xlfn.IFS(J6="TaiNT51",T6,J6="HuongNTC2",U6,J6="KhanhKT",V6,J6="PhuongLHK",W6)</f>
        <v>Consider</v>
      </c>
      <c r="O6" s="116" t="str" cm="1">
        <f t="array" ref="O6">_xlfn.IFS(K6="TaiNT51",T6,K6="HuongNTC2",U6,K6="KhanhKT",V6,K6="PhuongLHK",W6)</f>
        <v>Not Pass</v>
      </c>
      <c r="P6" s="70" cm="1">
        <f t="array" ref="P6">_xlfn.IFS(N6="Pass",1,N6="Not Pass",-1,N6="Consider",0)+_xlfn.IFS(O6="Pass",1,O6="Not Pass",-1,O6="Consider",0)</f>
        <v>-1</v>
      </c>
      <c r="Q6" s="116" t="str">
        <f t="shared" si="1"/>
        <v/>
      </c>
      <c r="R6" s="70" cm="1">
        <f t="array" ref="R6">P6+_xlfn.IFS(Q6="Pass",1,Q6="Not Pass",-1,TRUE,0)</f>
        <v>-1</v>
      </c>
      <c r="S6" s="116" t="str" cm="1">
        <f t="array" ref="S6">_xlfn.IFS(R6&gt;0,"Pass",R6=0,"Consider",R6&lt;0,"Not Pass")</f>
        <v>Not Pass</v>
      </c>
      <c r="T6" s="69">
        <f t="shared" si="2"/>
        <v>0</v>
      </c>
      <c r="U6" s="69" t="str">
        <f t="shared" si="3"/>
        <v>Consider</v>
      </c>
      <c r="V6" s="69" t="str">
        <f t="shared" si="4"/>
        <v>Not Pass</v>
      </c>
      <c r="W6" s="69">
        <f t="shared" si="5"/>
        <v>0</v>
      </c>
      <c r="X6" s="69">
        <f t="shared" si="6"/>
        <v>0</v>
      </c>
      <c r="Y6" s="69" t="str">
        <f t="shared" si="7"/>
        <v>Đề tài đã duyệt kỳ trước. AI đang phát triển, những đề tài như vậy ở thời điểm này nên bổ sung công nghệ để tăng cường tích hợp AI, nếu không sẽ đơn giản và không đáp ứng nhu cầu tuyển dụng.</v>
      </c>
      <c r="Z6" s="69" t="str">
        <f t="shared" si="8"/>
        <v>- Đề tài có nhưng nội dung không liên quan "Collectors to trade products"</v>
      </c>
      <c r="AA6" s="69">
        <f t="shared" si="9"/>
        <v>0</v>
      </c>
      <c r="AB6" s="69" t="str">
        <f t="shared" si="10"/>
        <v>0Đề tài đã duyệt kỳ trước. AI đang phát triển, những đề tài như vậy ở thời điểm này nên bổ sung công nghệ để tăng cường tích hợp AI, nếu không sẽ đơn giản và không đáp ứng nhu cầu tuyển dụng.- Đề tài có nhưng nội dung không liên quan "Collectors to trade products"0</v>
      </c>
    </row>
    <row r="7" spans="1:28" s="69" customFormat="1" ht="15.5">
      <c r="A7" s="111">
        <v>5</v>
      </c>
      <c r="B7" s="112" t="s">
        <v>233</v>
      </c>
      <c r="C7" s="117"/>
      <c r="D7" s="117"/>
      <c r="E7" s="112" t="s">
        <v>51</v>
      </c>
      <c r="F7" s="112"/>
      <c r="G7" s="112"/>
      <c r="H7" s="114"/>
      <c r="I7" s="115">
        <v>1</v>
      </c>
      <c r="J7" s="103" t="s">
        <v>16</v>
      </c>
      <c r="K7" s="71" t="s">
        <v>221</v>
      </c>
      <c r="L7" s="70" t="s">
        <v>19</v>
      </c>
      <c r="M7" s="70" t="b">
        <f t="shared" si="0"/>
        <v>0</v>
      </c>
      <c r="N7" s="116" t="str" cm="1">
        <f t="array" ref="N7">_xlfn.IFS(J7="TaiNT51",T7,J7="HuongNTC2",U7,J7="KhanhKT",V7,J7="PhuongLHK",W7)</f>
        <v>Pass</v>
      </c>
      <c r="O7" s="116" t="str" cm="1">
        <f t="array" ref="O7">_xlfn.IFS(K7="TaiNT51",T7,K7="HuongNTC2",U7,K7="KhanhKT",V7,K7="PhuongLHK",W7)</f>
        <v>Not Pass</v>
      </c>
      <c r="P7" s="70" cm="1">
        <f t="array" ref="P7">_xlfn.IFS(N7="Pass",1,N7="Not Pass",-1,N7="Consider",0)+_xlfn.IFS(O7="Pass",1,O7="Not Pass",-1,O7="Consider",0)</f>
        <v>0</v>
      </c>
      <c r="Q7" s="116" t="str">
        <f t="shared" si="1"/>
        <v>Not Pass</v>
      </c>
      <c r="R7" s="70" cm="1">
        <f t="array" ref="R7">P7+_xlfn.IFS(Q7="Pass",1,Q7="Not Pass",-1,TRUE,0)</f>
        <v>-1</v>
      </c>
      <c r="S7" s="116" t="str" cm="1">
        <f t="array" ref="S7">_xlfn.IFS(R7&gt;0,"Pass",R7=0,"Consider",R7&lt;0,"Not Pass")</f>
        <v>Not Pass</v>
      </c>
      <c r="T7" s="69" t="str">
        <f t="shared" si="2"/>
        <v>Not Pass</v>
      </c>
      <c r="U7" s="69">
        <f t="shared" si="3"/>
        <v>0</v>
      </c>
      <c r="V7" s="69" t="str">
        <f t="shared" si="4"/>
        <v>Pass</v>
      </c>
      <c r="W7" s="69" t="str">
        <f t="shared" si="5"/>
        <v>Not Pass</v>
      </c>
      <c r="X7" s="69" t="str">
        <f t="shared" si="6"/>
        <v>Xem lại tên đề tài "Xây Dựng Cho Thuê Xe Ô Tô Trực Tuyến" cũng như mô tả rõ hơn các quy tắc nghiệp vụ, luồng xử lý chính</v>
      </c>
      <c r="Y7" s="69">
        <f t="shared" si="7"/>
        <v>0</v>
      </c>
      <c r="Z7" s="69" t="str">
        <f t="shared" si="8"/>
        <v xml:space="preserve">Cần bổ sung quy core flow cụ thể để giúp sv fix scope nội dung thực hiện cũng như bảo vệ trên hội đồng. </v>
      </c>
      <c r="AA7" s="69" t="str">
        <f t="shared" si="9"/>
        <v>Đề tài này trùng nhiều lần</v>
      </c>
      <c r="AB7" s="69" t="str">
        <f t="shared" si="10"/>
        <v>Xem lại tên đề tài "Xây Dựng Cho Thuê Xe Ô Tô Trực Tuyến" cũng như mô tả rõ hơn các quy tắc nghiệp vụ, luồng xử lý chính0Cần bổ sung quy core flow cụ thể để giúp sv fix scope nội dung thực hiện cũng như bảo vệ trên hội đồng. Đề tài này trùng nhiều lần</v>
      </c>
    </row>
    <row r="8" spans="1:28" s="69" customFormat="1" ht="15.5">
      <c r="A8" s="111">
        <v>6</v>
      </c>
      <c r="B8" s="112" t="s">
        <v>234</v>
      </c>
      <c r="C8" s="117"/>
      <c r="D8" s="117"/>
      <c r="E8" s="112" t="s">
        <v>51</v>
      </c>
      <c r="F8" s="112"/>
      <c r="G8" s="112"/>
      <c r="H8" s="114"/>
      <c r="I8" s="115">
        <v>1</v>
      </c>
      <c r="J8" s="103" t="s">
        <v>225</v>
      </c>
      <c r="K8" s="71" t="s">
        <v>221</v>
      </c>
      <c r="L8" s="70" t="s">
        <v>19</v>
      </c>
      <c r="M8" s="70" t="b">
        <f t="shared" si="0"/>
        <v>0</v>
      </c>
      <c r="N8" s="116" t="str" cm="1">
        <f t="array" ref="N8">_xlfn.IFS(J8="TaiNT51",T8,J8="HuongNTC2",U8,J8="KhanhKT",V8,J8="PhuongLHK",W8)</f>
        <v>Consider</v>
      </c>
      <c r="O8" s="116" t="str" cm="1">
        <f t="array" ref="O8">_xlfn.IFS(K8="TaiNT51",T8,K8="HuongNTC2",U8,K8="KhanhKT",V8,K8="PhuongLHK",W8)</f>
        <v>Consider</v>
      </c>
      <c r="P8" s="70" cm="1">
        <f t="array" ref="P8">_xlfn.IFS(N8="Pass",1,N8="Not Pass",-1,N8="Consider",0)+_xlfn.IFS(O8="Pass",1,O8="Not Pass",-1,O8="Consider",0)</f>
        <v>0</v>
      </c>
      <c r="Q8" s="116" t="str">
        <f t="shared" si="1"/>
        <v>Not Pass</v>
      </c>
      <c r="R8" s="70" cm="1">
        <f t="array" ref="R8">P8+_xlfn.IFS(Q8="Pass",1,Q8="Not Pass",-1,TRUE,0)</f>
        <v>-1</v>
      </c>
      <c r="S8" s="116" t="str" cm="1">
        <f t="array" ref="S8">_xlfn.IFS(R8&gt;0,"Pass",R8=0,"Consider",R8&lt;0,"Not Pass")</f>
        <v>Not Pass</v>
      </c>
      <c r="T8" s="69" t="str">
        <f t="shared" si="2"/>
        <v>Consider</v>
      </c>
      <c r="U8" s="69" t="str">
        <f t="shared" si="3"/>
        <v>Consider</v>
      </c>
      <c r="V8" s="69">
        <f t="shared" si="4"/>
        <v>0</v>
      </c>
      <c r="W8" s="69" t="str">
        <f t="shared" si="5"/>
        <v>Not Pass</v>
      </c>
      <c r="X8" s="69" t="str">
        <f t="shared" si="6"/>
        <v>Nên mô tả rõ hơn các quy trình nghiệp vụ</v>
      </c>
      <c r="Y8" s="69" t="str">
        <f t="shared" si="7"/>
        <v>Cần mô tả rõ hơn phần tính năng cho thấy sự khác biệt với các hệ thống quản lý nhân sự thông thường. Có thể tích hợp các công nghệ để quản lý NS.</v>
      </c>
      <c r="Z8" s="69">
        <f t="shared" si="8"/>
        <v>0</v>
      </c>
      <c r="AA8" s="69" t="str">
        <f t="shared" si="9"/>
        <v>Đề tài cũ chưa có nhiều nâng cấp</v>
      </c>
      <c r="AB8" s="69" t="str">
        <f t="shared" si="10"/>
        <v>Nên mô tả rõ hơn các quy trình nghiệp vụCần mô tả rõ hơn phần tính năng cho thấy sự khác biệt với các hệ thống quản lý nhân sự thông thường. Có thể tích hợp các công nghệ để quản lý NS.0Đề tài cũ chưa có nhiều nâng cấp</v>
      </c>
    </row>
    <row r="9" spans="1:28" s="69" customFormat="1" ht="15.5">
      <c r="A9" s="111">
        <v>7</v>
      </c>
      <c r="B9" s="112" t="s">
        <v>235</v>
      </c>
      <c r="C9" s="117"/>
      <c r="D9" s="117"/>
      <c r="E9" s="112" t="s">
        <v>53</v>
      </c>
      <c r="F9" s="112"/>
      <c r="G9" s="112"/>
      <c r="H9" s="112"/>
      <c r="I9" s="115">
        <v>1</v>
      </c>
      <c r="J9" s="103" t="s">
        <v>225</v>
      </c>
      <c r="K9" s="71" t="s">
        <v>19</v>
      </c>
      <c r="L9" s="70"/>
      <c r="M9" s="70" t="b">
        <f t="shared" si="0"/>
        <v>0</v>
      </c>
      <c r="N9" s="116" t="str" cm="1">
        <f t="array" ref="N9">_xlfn.IFS(J9="TaiNT51",T9,J9="HuongNTC2",U9,J9="KhanhKT",V9,J9="PhuongLHK",W9)</f>
        <v>Consider</v>
      </c>
      <c r="O9" s="116" t="str" cm="1">
        <f t="array" ref="O9">_xlfn.IFS(K9="TaiNT51",T9,K9="HuongNTC2",U9,K9="KhanhKT",V9,K9="PhuongLHK",W9)</f>
        <v>Not Pass</v>
      </c>
      <c r="P9" s="70" cm="1">
        <f t="array" ref="P9">_xlfn.IFS(N9="Pass",1,N9="Not Pass",-1,N9="Consider",0)+_xlfn.IFS(O9="Pass",1,O9="Not Pass",-1,O9="Consider",0)</f>
        <v>-1</v>
      </c>
      <c r="Q9" s="116" t="str">
        <f t="shared" si="1"/>
        <v/>
      </c>
      <c r="R9" s="70" cm="1">
        <f t="array" ref="R9">P9+_xlfn.IFS(Q9="Pass",1,Q9="Not Pass",-1,TRUE,0)</f>
        <v>-1</v>
      </c>
      <c r="S9" s="116" t="str" cm="1">
        <f t="array" ref="S9">_xlfn.IFS(R9&gt;0,"Pass",R9=0,"Consider",R9&lt;0,"Not Pass")</f>
        <v>Not Pass</v>
      </c>
      <c r="T9" s="69">
        <f t="shared" si="2"/>
        <v>0</v>
      </c>
      <c r="U9" s="69" t="str">
        <f t="shared" si="3"/>
        <v>Consider</v>
      </c>
      <c r="V9" s="69">
        <f t="shared" si="4"/>
        <v>0</v>
      </c>
      <c r="W9" s="69" t="str">
        <f t="shared" si="5"/>
        <v>Not Pass</v>
      </c>
      <c r="X9" s="69">
        <f t="shared" si="6"/>
        <v>0</v>
      </c>
      <c r="Y9" s="69" t="str">
        <f t="shared" si="7"/>
        <v>File đăng ký để tên 1 GVHD nhưng trên danh sách excel để tên 2 GV?. Cần cập nhật cho đúng để thống kê và quản lý. Đề tài chưa nêu rõ ngữ cảnh áp dụng hệ thống. Đây là nơi có đầy đủ products để tạo event cosplay và cho thuê service hay là platform cho nhiều nhà cung cấp tham gia ?</v>
      </c>
      <c r="Z9" s="69">
        <f t="shared" si="8"/>
        <v>0</v>
      </c>
      <c r="AA9" s="69">
        <f t="shared" si="9"/>
        <v>0</v>
      </c>
      <c r="AB9" s="69" t="str">
        <f t="shared" si="10"/>
        <v>0File đăng ký để tên 1 GVHD nhưng trên danh sách excel để tên 2 GV?. Cần cập nhật cho đúng để thống kê và quản lý. Đề tài chưa nêu rõ ngữ cảnh áp dụng hệ thống. Đây là nơi có đầy đủ products để tạo event cosplay và cho thuê service hay là platform cho nhiều nhà cung cấp tham gia ?00</v>
      </c>
    </row>
    <row r="10" spans="1:28" s="69" customFormat="1" ht="15.5">
      <c r="A10" s="111">
        <v>8</v>
      </c>
      <c r="B10" s="112" t="s">
        <v>236</v>
      </c>
      <c r="C10" s="117"/>
      <c r="D10" s="117"/>
      <c r="E10" s="112" t="s">
        <v>53</v>
      </c>
      <c r="F10" s="112"/>
      <c r="G10" s="112"/>
      <c r="H10" s="114"/>
      <c r="I10" s="115">
        <v>1</v>
      </c>
      <c r="J10" s="103" t="s">
        <v>225</v>
      </c>
      <c r="K10" s="71" t="s">
        <v>19</v>
      </c>
      <c r="L10" s="70"/>
      <c r="M10" s="70" t="b">
        <f t="shared" si="0"/>
        <v>0</v>
      </c>
      <c r="N10" s="116" t="str" cm="1">
        <f t="array" ref="N10">_xlfn.IFS(J10="TaiNT51",T10,J10="HuongNTC2",U10,J10="KhanhKT",V10,J10="PhuongLHK",W10)</f>
        <v>Consider</v>
      </c>
      <c r="O10" s="116" t="str" cm="1">
        <f t="array" ref="O10">_xlfn.IFS(K10="TaiNT51",T10,K10="HuongNTC2",U10,K10="KhanhKT",V10,K10="PhuongLHK",W10)</f>
        <v>Not Pass</v>
      </c>
      <c r="P10" s="70" cm="1">
        <f t="array" ref="P10">_xlfn.IFS(N10="Pass",1,N10="Not Pass",-1,N10="Consider",0)+_xlfn.IFS(O10="Pass",1,O10="Not Pass",-1,O10="Consider",0)</f>
        <v>-1</v>
      </c>
      <c r="Q10" s="116" t="str">
        <f t="shared" si="1"/>
        <v/>
      </c>
      <c r="R10" s="70" cm="1">
        <f t="array" ref="R10">P10+_xlfn.IFS(Q10="Pass",1,Q10="Not Pass",-1,TRUE,0)</f>
        <v>-1</v>
      </c>
      <c r="S10" s="116" t="str" cm="1">
        <f t="array" ref="S10">_xlfn.IFS(R10&gt;0,"Pass",R10=0,"Consider",R10&lt;0,"Not Pass")</f>
        <v>Not Pass</v>
      </c>
      <c r="T10" s="69">
        <f t="shared" si="2"/>
        <v>0</v>
      </c>
      <c r="U10" s="69" t="str">
        <f t="shared" si="3"/>
        <v>Consider</v>
      </c>
      <c r="V10" s="69">
        <f t="shared" si="4"/>
        <v>0</v>
      </c>
      <c r="W10" s="69" t="str">
        <f t="shared" si="5"/>
        <v>Not Pass</v>
      </c>
      <c r="X10" s="69">
        <f t="shared" si="6"/>
        <v>0</v>
      </c>
      <c r="Y10" s="69" t="str">
        <f t="shared" si="7"/>
        <v>Đề tài có gắn "thông minh" nhưng phần mô tả chưa thấy tính năng thông minh ngoại trừ quét QR.</v>
      </c>
      <c r="Z10" s="69">
        <f t="shared" si="8"/>
        <v>0</v>
      </c>
      <c r="AA10" s="69">
        <f t="shared" si="9"/>
        <v>0</v>
      </c>
      <c r="AB10" s="69" t="str">
        <f t="shared" si="10"/>
        <v>0Đề tài có gắn "thông minh" nhưng phần mô tả chưa thấy tính năng thông minh ngoại trừ quét QR.00</v>
      </c>
    </row>
    <row r="11" spans="1:28" s="69" customFormat="1" ht="15.5">
      <c r="A11" s="111">
        <v>9</v>
      </c>
      <c r="B11" s="112" t="s">
        <v>237</v>
      </c>
      <c r="C11" s="117"/>
      <c r="D11" s="117"/>
      <c r="E11" s="112" t="s">
        <v>53</v>
      </c>
      <c r="F11" s="112"/>
      <c r="G11" s="112"/>
      <c r="H11" s="114"/>
      <c r="I11" s="115">
        <v>1</v>
      </c>
      <c r="J11" s="103" t="s">
        <v>16</v>
      </c>
      <c r="K11" s="71" t="s">
        <v>19</v>
      </c>
      <c r="L11" s="70"/>
      <c r="M11" s="70" t="b">
        <f t="shared" si="0"/>
        <v>0</v>
      </c>
      <c r="N11" s="116" t="str" cm="1">
        <f t="array" ref="N11">_xlfn.IFS(J11="TaiNT51",T11,J11="HuongNTC2",U11,J11="KhanhKT",V11,J11="PhuongLHK",W11)</f>
        <v>Pass</v>
      </c>
      <c r="O11" s="116" t="str" cm="1">
        <f t="array" ref="O11">_xlfn.IFS(K11="TaiNT51",T11,K11="HuongNTC2",U11,K11="KhanhKT",V11,K11="PhuongLHK",W11)</f>
        <v>Pass</v>
      </c>
      <c r="P11" s="70" cm="1">
        <f t="array" ref="P11">_xlfn.IFS(N11="Pass",1,N11="Not Pass",-1,N11="Consider",0)+_xlfn.IFS(O11="Pass",1,O11="Not Pass",-1,O11="Consider",0)</f>
        <v>2</v>
      </c>
      <c r="Q11" s="116" t="str">
        <f t="shared" si="1"/>
        <v/>
      </c>
      <c r="R11" s="70" cm="1">
        <f t="array" ref="R11">P11+_xlfn.IFS(Q11="Pass",1,Q11="Not Pass",-1,TRUE,0)</f>
        <v>2</v>
      </c>
      <c r="S11" s="116" t="str" cm="1">
        <f t="array" ref="S11">_xlfn.IFS(R11&gt;0,"Pass",R11=0,"Consider",R11&lt;0,"Not Pass")</f>
        <v>Pass</v>
      </c>
      <c r="T11" s="69">
        <f t="shared" si="2"/>
        <v>0</v>
      </c>
      <c r="U11" s="69">
        <f t="shared" si="3"/>
        <v>0</v>
      </c>
      <c r="V11" s="69" t="str">
        <f t="shared" si="4"/>
        <v>Pass</v>
      </c>
      <c r="W11" s="69" t="str">
        <f t="shared" si="5"/>
        <v>Pass</v>
      </c>
      <c r="X11" s="69">
        <f t="shared" si="6"/>
        <v>0</v>
      </c>
      <c r="Y11" s="69">
        <f t="shared" si="7"/>
        <v>0</v>
      </c>
      <c r="Z11" s="69" t="str">
        <f t="shared" si="8"/>
        <v>'Cần bổ sung quy core flow cụ thể để giúp sv fix scope nội dung thực hiện cũng như bảo vệ trên hội đồng.</v>
      </c>
      <c r="AA11" s="69">
        <f t="shared" si="9"/>
        <v>0</v>
      </c>
      <c r="AB11" s="69" t="str">
        <f t="shared" si="10"/>
        <v>00'Cần bổ sung quy core flow cụ thể để giúp sv fix scope nội dung thực hiện cũng như bảo vệ trên hội đồng.0</v>
      </c>
    </row>
    <row r="12" spans="1:28" s="69" customFormat="1" ht="15.5">
      <c r="A12" s="111">
        <v>10</v>
      </c>
      <c r="B12" s="112" t="s">
        <v>238</v>
      </c>
      <c r="C12" s="117"/>
      <c r="D12" s="117"/>
      <c r="E12" s="112" t="s">
        <v>53</v>
      </c>
      <c r="F12" s="112"/>
      <c r="G12" s="112"/>
      <c r="H12" s="114"/>
      <c r="I12" s="115">
        <v>1</v>
      </c>
      <c r="J12" s="103" t="s">
        <v>225</v>
      </c>
      <c r="K12" s="71" t="s">
        <v>19</v>
      </c>
      <c r="L12" s="70"/>
      <c r="M12" s="70" t="b">
        <f t="shared" si="0"/>
        <v>0</v>
      </c>
      <c r="N12" s="116" t="str" cm="1">
        <f t="array" ref="N12">_xlfn.IFS(J12="TaiNT51",T12,J12="HuongNTC2",U12,J12="KhanhKT",V12,J12="PhuongLHK",W12)</f>
        <v>Consider</v>
      </c>
      <c r="O12" s="116" t="str" cm="1">
        <f t="array" ref="O12">_xlfn.IFS(K12="TaiNT51",T12,K12="HuongNTC2",U12,K12="KhanhKT",V12,K12="PhuongLHK",W12)</f>
        <v>Pass</v>
      </c>
      <c r="P12" s="70" cm="1">
        <f t="array" ref="P12">_xlfn.IFS(N12="Pass",1,N12="Not Pass",-1,N12="Consider",0)+_xlfn.IFS(O12="Pass",1,O12="Not Pass",-1,O12="Consider",0)</f>
        <v>1</v>
      </c>
      <c r="Q12" s="116" t="str">
        <f t="shared" si="1"/>
        <v/>
      </c>
      <c r="R12" s="70" cm="1">
        <f t="array" ref="R12">P12+_xlfn.IFS(Q12="Pass",1,Q12="Not Pass",-1,TRUE,0)</f>
        <v>1</v>
      </c>
      <c r="S12" s="116" t="str" cm="1">
        <f t="array" ref="S12">_xlfn.IFS(R12&gt;0,"Pass",R12=0,"Consider",R12&lt;0,"Not Pass")</f>
        <v>Pass</v>
      </c>
      <c r="T12" s="69">
        <f t="shared" si="2"/>
        <v>0</v>
      </c>
      <c r="U12" s="69" t="str">
        <f t="shared" si="3"/>
        <v>Consider</v>
      </c>
      <c r="V12" s="69">
        <f t="shared" si="4"/>
        <v>0</v>
      </c>
      <c r="W12" s="69" t="str">
        <f t="shared" si="5"/>
        <v>Pass</v>
      </c>
      <c r="X12" s="69">
        <f t="shared" si="6"/>
        <v>0</v>
      </c>
      <c r="Y12" s="69" t="str">
        <f t="shared" si="7"/>
        <v>Phần solution ghi "2. Integrate AI for melody recognition and personalized recommendations." nhưng phần chức năng không có một đề cập nào liên quan. Cần điều chỉnh cho đúng scope.</v>
      </c>
      <c r="Z12" s="69">
        <f t="shared" si="8"/>
        <v>0</v>
      </c>
      <c r="AA12" s="69">
        <f t="shared" si="9"/>
        <v>0</v>
      </c>
      <c r="AB12" s="69" t="str">
        <f t="shared" si="10"/>
        <v>0Phần solution ghi "2. Integrate AI for melody recognition and personalized recommendations." nhưng phần chức năng không có một đề cập nào liên quan. Cần điều chỉnh cho đúng scope.00</v>
      </c>
    </row>
    <row r="13" spans="1:28" s="69" customFormat="1" ht="31.5" customHeight="1">
      <c r="A13" s="111">
        <v>11</v>
      </c>
      <c r="B13" s="112" t="s">
        <v>239</v>
      </c>
      <c r="C13" s="117"/>
      <c r="D13" s="117"/>
      <c r="E13" s="112" t="s">
        <v>53</v>
      </c>
      <c r="F13" s="112"/>
      <c r="G13" s="112"/>
      <c r="H13" s="114"/>
      <c r="I13" s="115">
        <v>1</v>
      </c>
      <c r="J13" s="103" t="s">
        <v>225</v>
      </c>
      <c r="K13" s="71" t="s">
        <v>16</v>
      </c>
      <c r="L13" s="70"/>
      <c r="M13" s="70" t="b">
        <f t="shared" si="0"/>
        <v>0</v>
      </c>
      <c r="N13" s="116" t="str" cm="1">
        <f t="array" ref="N13">_xlfn.IFS(J13="TaiNT51",T13,J13="HuongNTC2",U13,J13="KhanhKT",V13,J13="PhuongLHK",W13)</f>
        <v>Consider</v>
      </c>
      <c r="O13" s="116" t="str" cm="1">
        <f t="array" ref="O13">_xlfn.IFS(K13="TaiNT51",T13,K13="HuongNTC2",U13,K13="KhanhKT",V13,K13="PhuongLHK",W13)</f>
        <v>Not Pass</v>
      </c>
      <c r="P13" s="70" cm="1">
        <f t="array" ref="P13">_xlfn.IFS(N13="Pass",1,N13="Not Pass",-1,N13="Consider",0)+_xlfn.IFS(O13="Pass",1,O13="Not Pass",-1,O13="Consider",0)</f>
        <v>-1</v>
      </c>
      <c r="Q13" s="116" t="str">
        <f t="shared" si="1"/>
        <v/>
      </c>
      <c r="R13" s="70" cm="1">
        <f t="array" ref="R13">P13+_xlfn.IFS(Q13="Pass",1,Q13="Not Pass",-1,TRUE,0)</f>
        <v>-1</v>
      </c>
      <c r="S13" s="116" t="str" cm="1">
        <f t="array" ref="S13">_xlfn.IFS(R13&gt;0,"Pass",R13=0,"Consider",R13&lt;0,"Not Pass")</f>
        <v>Not Pass</v>
      </c>
      <c r="T13" s="69">
        <f t="shared" si="2"/>
        <v>0</v>
      </c>
      <c r="U13" s="69" t="str">
        <f t="shared" si="3"/>
        <v>Consider</v>
      </c>
      <c r="V13" s="69" t="str">
        <f t="shared" si="4"/>
        <v>Not Pass</v>
      </c>
      <c r="W13" s="69">
        <f t="shared" si="5"/>
        <v>0</v>
      </c>
      <c r="X13" s="69">
        <f t="shared" si="6"/>
        <v>0</v>
      </c>
      <c r="Y13" s="69" t="str">
        <f t="shared" si="7"/>
        <v>Phần solution và Package đều ghi tích hợp AI nhưng phần chức năng không mô tả. Đề tài không nói rõ trại hè cho đối tượng nào? Không xác định được scope</v>
      </c>
      <c r="Z13" s="69" t="str">
        <f t="shared" si="8"/>
        <v>- Đề tài cùng nhóm đề tài quản lý sự kiện thông thường đã được làm và bảo vệ rất nhiều --&gt; nên loại các đề tài này</v>
      </c>
      <c r="AA13" s="69">
        <f t="shared" si="9"/>
        <v>0</v>
      </c>
      <c r="AB13" s="69" t="str">
        <f t="shared" si="10"/>
        <v>0Phần solution và Package đều ghi tích hợp AI nhưng phần chức năng không mô tả. Đề tài không nói rõ trại hè cho đối tượng nào? Không xác định được scope- Đề tài cùng nhóm đề tài quản lý sự kiện thông thường đã được làm và bảo vệ rất nhiều --&gt; nên loại các đề tài này0</v>
      </c>
    </row>
    <row r="14" spans="1:28" s="69" customFormat="1" ht="16" customHeight="1">
      <c r="A14" s="111">
        <v>12</v>
      </c>
      <c r="B14" s="112" t="s">
        <v>240</v>
      </c>
      <c r="C14" s="117"/>
      <c r="D14" s="117"/>
      <c r="E14" s="112" t="s">
        <v>53</v>
      </c>
      <c r="F14" s="112"/>
      <c r="G14" s="112"/>
      <c r="H14" s="114"/>
      <c r="I14" s="115">
        <v>1</v>
      </c>
      <c r="J14" s="103" t="s">
        <v>225</v>
      </c>
      <c r="K14" s="71" t="s">
        <v>16</v>
      </c>
      <c r="L14" s="70" t="s">
        <v>19</v>
      </c>
      <c r="M14" s="70" t="b">
        <f t="shared" si="0"/>
        <v>0</v>
      </c>
      <c r="N14" s="116" t="str" cm="1">
        <f t="array" ref="N14">_xlfn.IFS(J14="TaiNT51",T14,J14="HuongNTC2",U14,J14="KhanhKT",V14,J14="PhuongLHK",W14)</f>
        <v>Consider</v>
      </c>
      <c r="O14" s="116" t="str" cm="1">
        <f t="array" ref="O14">_xlfn.IFS(K14="TaiNT51",T14,K14="HuongNTC2",U14,K14="KhanhKT",V14,K14="PhuongLHK",W14)</f>
        <v>Consider</v>
      </c>
      <c r="P14" s="70" cm="1">
        <f t="array" ref="P14">_xlfn.IFS(N14="Pass",1,N14="Not Pass",-1,N14="Consider",0)+_xlfn.IFS(O14="Pass",1,O14="Not Pass",-1,O14="Consider",0)</f>
        <v>0</v>
      </c>
      <c r="Q14" s="116" t="str">
        <f t="shared" si="1"/>
        <v>Not Pass</v>
      </c>
      <c r="R14" s="70" cm="1">
        <f t="array" ref="R14">P14+_xlfn.IFS(Q14="Pass",1,Q14="Not Pass",-1,TRUE,0)</f>
        <v>-1</v>
      </c>
      <c r="S14" s="116" t="str" cm="1">
        <f t="array" ref="S14">_xlfn.IFS(R14&gt;0,"Pass",R14=0,"Consider",R14&lt;0,"Not Pass")</f>
        <v>Not Pass</v>
      </c>
      <c r="T14" s="69">
        <f t="shared" si="2"/>
        <v>0</v>
      </c>
      <c r="U14" s="69" t="str">
        <f t="shared" si="3"/>
        <v>Consider</v>
      </c>
      <c r="V14" s="69" t="str">
        <f t="shared" si="4"/>
        <v>Consider</v>
      </c>
      <c r="W14" s="69" t="str">
        <f t="shared" si="5"/>
        <v>Not Pass</v>
      </c>
      <c r="X14" s="69">
        <f t="shared" si="6"/>
        <v>0</v>
      </c>
      <c r="Y14" s="69" t="str">
        <f t="shared" si="7"/>
        <v>Đềtài không có các task package chính để đánh giá liên quan đến phần mô tả Features. Cần viết lại súc tích hơn, việc mô tả dài dòng sẽ khó cho việc đánh giá kết quả thực hiện của nhóm.</v>
      </c>
      <c r="Z14" s="69" t="str">
        <f t="shared" si="8"/>
        <v>- Cần mô tả rõ luồng core flow chính để hỗ trợ sv trong quá trình thực hiện và bảo vệ đảm bảo scope trong phạm vi 14 tuần</v>
      </c>
      <c r="AA14" s="69">
        <f t="shared" si="9"/>
        <v>0</v>
      </c>
      <c r="AB14" s="69" t="str">
        <f t="shared" si="10"/>
        <v>0Đềtài không có các task package chính để đánh giá liên quan đến phần mô tả Features. Cần viết lại súc tích hơn, việc mô tả dài dòng sẽ khó cho việc đánh giá kết quả thực hiện của nhóm.- Cần mô tả rõ luồng core flow chính để hỗ trợ sv trong quá trình thực hiện và bảo vệ đảm bảo scope trong phạm vi 14 tuần0</v>
      </c>
    </row>
    <row r="15" spans="1:28" s="69" customFormat="1" ht="16" customHeight="1">
      <c r="A15" s="111">
        <v>14</v>
      </c>
      <c r="B15" s="112" t="s">
        <v>242</v>
      </c>
      <c r="C15" s="117"/>
      <c r="D15" s="117"/>
      <c r="E15" s="112" t="s">
        <v>53</v>
      </c>
      <c r="F15" s="112"/>
      <c r="G15" s="112"/>
      <c r="H15" s="114"/>
      <c r="I15" s="115">
        <v>1</v>
      </c>
      <c r="J15" s="103" t="s">
        <v>225</v>
      </c>
      <c r="K15" s="71" t="s">
        <v>221</v>
      </c>
      <c r="L15" s="70"/>
      <c r="M15" s="70" t="b">
        <f t="shared" si="0"/>
        <v>0</v>
      </c>
      <c r="N15" s="116" t="str" cm="1">
        <f t="array" ref="N15">_xlfn.IFS(J15="TaiNT51",T15,J15="HuongNTC2",U15,J15="KhanhKT",V15,J15="PhuongLHK",W15)</f>
        <v>Pass</v>
      </c>
      <c r="O15" s="116" t="str" cm="1">
        <f t="array" ref="O15">_xlfn.IFS(K15="TaiNT51",T15,K15="HuongNTC2",U15,K15="KhanhKT",V15,K15="PhuongLHK",W15)</f>
        <v>Pass</v>
      </c>
      <c r="P15" s="70" cm="1">
        <f t="array" ref="P15">_xlfn.IFS(N15="Pass",1,N15="Not Pass",-1,N15="Consider",0)+_xlfn.IFS(O15="Pass",1,O15="Not Pass",-1,O15="Consider",0)</f>
        <v>2</v>
      </c>
      <c r="Q15" s="116" t="str">
        <f t="shared" si="1"/>
        <v/>
      </c>
      <c r="R15" s="70" cm="1">
        <f t="array" ref="R15">P15+_xlfn.IFS(Q15="Pass",1,Q15="Not Pass",-1,TRUE,0)</f>
        <v>2</v>
      </c>
      <c r="S15" s="116" t="str" cm="1">
        <f t="array" ref="S15">_xlfn.IFS(R15&gt;0,"Pass",R15=0,"Consider",R15&lt;0,"Not Pass")</f>
        <v>Pass</v>
      </c>
      <c r="T15" s="69" t="str">
        <f t="shared" si="2"/>
        <v>Pass</v>
      </c>
      <c r="U15" s="69" t="str">
        <f t="shared" si="3"/>
        <v>Pass</v>
      </c>
      <c r="V15" s="69">
        <f t="shared" si="4"/>
        <v>0</v>
      </c>
      <c r="W15" s="69">
        <f t="shared" si="5"/>
        <v>0</v>
      </c>
      <c r="X15" s="69">
        <f t="shared" si="6"/>
        <v>0</v>
      </c>
      <c r="Y15" s="69">
        <f t="shared" si="7"/>
        <v>0</v>
      </c>
      <c r="Z15" s="69">
        <f t="shared" si="8"/>
        <v>0</v>
      </c>
      <c r="AA15" s="69">
        <f t="shared" si="9"/>
        <v>0</v>
      </c>
      <c r="AB15" s="69" t="str">
        <f t="shared" si="10"/>
        <v>0000</v>
      </c>
    </row>
    <row r="16" spans="1:28" s="69" customFormat="1" ht="16" customHeight="1">
      <c r="A16" s="111">
        <v>15</v>
      </c>
      <c r="B16" s="112" t="s">
        <v>243</v>
      </c>
      <c r="C16" s="117"/>
      <c r="D16" s="117"/>
      <c r="E16" s="112" t="s">
        <v>53</v>
      </c>
      <c r="F16" s="112"/>
      <c r="G16" s="112"/>
      <c r="H16" s="114"/>
      <c r="I16" s="115">
        <v>1</v>
      </c>
      <c r="J16" s="103" t="s">
        <v>225</v>
      </c>
      <c r="K16" s="71" t="s">
        <v>16</v>
      </c>
      <c r="L16" s="70"/>
      <c r="M16" s="70" t="b">
        <f t="shared" si="0"/>
        <v>0</v>
      </c>
      <c r="N16" s="116" t="str" cm="1">
        <f t="array" ref="N16">_xlfn.IFS(J16="TaiNT51",T16,J16="HuongNTC2",U16,J16="KhanhKT",V16,J16="PhuongLHK",W16)</f>
        <v>Consider</v>
      </c>
      <c r="O16" s="116" t="str" cm="1">
        <f t="array" ref="O16">_xlfn.IFS(K16="TaiNT51",T16,K16="HuongNTC2",U16,K16="KhanhKT",V16,K16="PhuongLHK",W16)</f>
        <v>Pass</v>
      </c>
      <c r="P16" s="70" cm="1">
        <f t="array" ref="P16">_xlfn.IFS(N16="Pass",1,N16="Not Pass",-1,N16="Consider",0)+_xlfn.IFS(O16="Pass",1,O16="Not Pass",-1,O16="Consider",0)</f>
        <v>1</v>
      </c>
      <c r="Q16" s="116" t="str">
        <f t="shared" si="1"/>
        <v/>
      </c>
      <c r="R16" s="70" cm="1">
        <f t="array" ref="R16">P16+_xlfn.IFS(Q16="Pass",1,Q16="Not Pass",-1,TRUE,0)</f>
        <v>1</v>
      </c>
      <c r="S16" s="116" t="str" cm="1">
        <f t="array" ref="S16">_xlfn.IFS(R16&gt;0,"Pass",R16=0,"Consider",R16&lt;0,"Not Pass")</f>
        <v>Pass</v>
      </c>
      <c r="T16" s="69">
        <f t="shared" si="2"/>
        <v>0</v>
      </c>
      <c r="U16" s="69" t="str">
        <f t="shared" si="3"/>
        <v>Consider</v>
      </c>
      <c r="V16" s="69" t="str">
        <f t="shared" si="4"/>
        <v>Pass</v>
      </c>
      <c r="W16" s="69">
        <f t="shared" si="5"/>
        <v>0</v>
      </c>
      <c r="X16" s="69">
        <f t="shared" si="6"/>
        <v>0</v>
      </c>
      <c r="Y16" s="69" t="str">
        <f t="shared" si="7"/>
        <v>Cần bổ sung nghiệp vụ để thể hiện hệ thống dành cho cơm tấm, nếu không SV có thể clone từ bất kỳ hệ thống bán hàng thông thường</v>
      </c>
      <c r="Z16" s="69" t="str">
        <f t="shared" si="8"/>
        <v>- Cần mô tả rõ luồng core flow chính để hỗ trợ sv trong quá trình thực hiện và bảo vệ đảm bảo scope trong phạm vi 14 tuần</v>
      </c>
      <c r="AA16" s="69">
        <f t="shared" si="9"/>
        <v>0</v>
      </c>
      <c r="AB16" s="69" t="str">
        <f t="shared" si="10"/>
        <v>0Cần bổ sung nghiệp vụ để thể hiện hệ thống dành cho cơm tấm, nếu không SV có thể clone từ bất kỳ hệ thống bán hàng thông thường- Cần mô tả rõ luồng core flow chính để hỗ trợ sv trong quá trình thực hiện và bảo vệ đảm bảo scope trong phạm vi 14 tuần0</v>
      </c>
    </row>
    <row r="17" spans="1:28" s="69" customFormat="1" ht="31.5" customHeight="1">
      <c r="A17" s="111">
        <v>16</v>
      </c>
      <c r="B17" s="112" t="s">
        <v>244</v>
      </c>
      <c r="C17" s="117"/>
      <c r="D17" s="117"/>
      <c r="E17" s="112" t="s">
        <v>53</v>
      </c>
      <c r="F17" s="112"/>
      <c r="G17" s="112"/>
      <c r="H17" s="112" t="s">
        <v>220</v>
      </c>
      <c r="I17" s="115">
        <v>1</v>
      </c>
      <c r="J17" s="103" t="s">
        <v>225</v>
      </c>
      <c r="K17" s="71" t="s">
        <v>221</v>
      </c>
      <c r="L17" s="70"/>
      <c r="M17" s="70" t="b">
        <f t="shared" si="0"/>
        <v>0</v>
      </c>
      <c r="N17" s="116" t="str" cm="1">
        <f t="array" ref="N17">_xlfn.IFS(J17="TaiNT51",T17,J17="HuongNTC2",U17,J17="KhanhKT",V17,J17="PhuongLHK",W17)</f>
        <v>Pass</v>
      </c>
      <c r="O17" s="116" t="str" cm="1">
        <f t="array" ref="O17">_xlfn.IFS(K17="TaiNT51",T17,K17="HuongNTC2",U17,K17="KhanhKT",V17,K17="PhuongLHK",W17)</f>
        <v>Pass</v>
      </c>
      <c r="P17" s="70" cm="1">
        <f t="array" ref="P17">_xlfn.IFS(N17="Pass",1,N17="Not Pass",-1,N17="Consider",0)+_xlfn.IFS(O17="Pass",1,O17="Not Pass",-1,O17="Consider",0)</f>
        <v>2</v>
      </c>
      <c r="Q17" s="116" t="str">
        <f t="shared" si="1"/>
        <v/>
      </c>
      <c r="R17" s="70" cm="1">
        <f t="array" ref="R17">P17+_xlfn.IFS(Q17="Pass",1,Q17="Not Pass",-1,TRUE,0)</f>
        <v>2</v>
      </c>
      <c r="S17" s="116" t="str" cm="1">
        <f t="array" ref="S17">_xlfn.IFS(R17&gt;0,"Pass",R17=0,"Consider",R17&lt;0,"Not Pass")</f>
        <v>Pass</v>
      </c>
      <c r="T17" s="69" t="str">
        <f t="shared" si="2"/>
        <v>Pass</v>
      </c>
      <c r="U17" s="69" t="str">
        <f t="shared" si="3"/>
        <v>Pass</v>
      </c>
      <c r="V17" s="69">
        <f t="shared" si="4"/>
        <v>0</v>
      </c>
      <c r="W17" s="69">
        <f t="shared" si="5"/>
        <v>0</v>
      </c>
      <c r="X17" s="69">
        <f t="shared" si="6"/>
        <v>0</v>
      </c>
      <c r="Y17" s="69">
        <f t="shared" si="7"/>
        <v>0</v>
      </c>
      <c r="Z17" s="69">
        <f t="shared" si="8"/>
        <v>0</v>
      </c>
      <c r="AA17" s="69">
        <f t="shared" si="9"/>
        <v>0</v>
      </c>
      <c r="AB17" s="69" t="str">
        <f t="shared" si="10"/>
        <v>0000</v>
      </c>
    </row>
    <row r="18" spans="1:28" s="69" customFormat="1" ht="31.5" customHeight="1">
      <c r="A18" s="111">
        <v>17</v>
      </c>
      <c r="B18" s="112" t="s">
        <v>245</v>
      </c>
      <c r="C18" s="118"/>
      <c r="D18" s="118"/>
      <c r="E18" s="112" t="s">
        <v>51</v>
      </c>
      <c r="F18" s="112"/>
      <c r="G18" s="112"/>
      <c r="H18" s="114"/>
      <c r="I18" s="115">
        <v>1</v>
      </c>
      <c r="J18" s="103" t="s">
        <v>16</v>
      </c>
      <c r="K18" s="71" t="s">
        <v>19</v>
      </c>
      <c r="L18" s="70"/>
      <c r="M18" s="70" t="b">
        <f t="shared" si="0"/>
        <v>0</v>
      </c>
      <c r="N18" s="116" t="str" cm="1">
        <f t="array" ref="N18">_xlfn.IFS(J18="TaiNT51",T18,J18="HuongNTC2",U18,J18="KhanhKT",V18,J18="PhuongLHK",W18)</f>
        <v>Consider</v>
      </c>
      <c r="O18" s="116" t="str" cm="1">
        <f t="array" ref="O18">_xlfn.IFS(K18="TaiNT51",T18,K18="HuongNTC2",U18,K18="KhanhKT",V18,K18="PhuongLHK",W18)</f>
        <v>Pass</v>
      </c>
      <c r="P18" s="70" cm="1">
        <f t="array" ref="P18">_xlfn.IFS(N18="Pass",1,N18="Not Pass",-1,N18="Consider",0)+_xlfn.IFS(O18="Pass",1,O18="Not Pass",-1,O18="Consider",0)</f>
        <v>1</v>
      </c>
      <c r="Q18" s="116" t="str">
        <f t="shared" si="1"/>
        <v/>
      </c>
      <c r="R18" s="70" cm="1">
        <f t="array" ref="R18">P18+_xlfn.IFS(Q18="Pass",1,Q18="Not Pass",-1,TRUE,0)</f>
        <v>1</v>
      </c>
      <c r="S18" s="116" t="str" cm="1">
        <f t="array" ref="S18">_xlfn.IFS(R18&gt;0,"Pass",R18=0,"Consider",R18&lt;0,"Not Pass")</f>
        <v>Pass</v>
      </c>
      <c r="T18" s="69">
        <f t="shared" si="2"/>
        <v>0</v>
      </c>
      <c r="U18" s="69">
        <f t="shared" si="3"/>
        <v>0</v>
      </c>
      <c r="V18" s="69" t="str">
        <f t="shared" si="4"/>
        <v>Consider</v>
      </c>
      <c r="W18" s="69" t="str">
        <f t="shared" si="5"/>
        <v>Pass</v>
      </c>
      <c r="X18" s="69">
        <f t="shared" si="6"/>
        <v>0</v>
      </c>
      <c r="Y18" s="69">
        <f t="shared" si="7"/>
        <v>0</v>
      </c>
      <c r="Z18" s="69" t="str">
        <f t="shared" si="8"/>
        <v>Cần bổ sung quy core flow cụ thể để giúp sv fix scope nội dung thực hiện cũng như bảo vệ trên hội đồng.</v>
      </c>
      <c r="AA18" s="69">
        <f t="shared" si="9"/>
        <v>0</v>
      </c>
      <c r="AB18" s="69" t="str">
        <f t="shared" si="10"/>
        <v>00Cần bổ sung quy core flow cụ thể để giúp sv fix scope nội dung thực hiện cũng như bảo vệ trên hội đồng.0</v>
      </c>
    </row>
    <row r="19" spans="1:28" s="69" customFormat="1" ht="31.5" customHeight="1">
      <c r="A19" s="111">
        <v>18</v>
      </c>
      <c r="B19" s="112" t="s">
        <v>246</v>
      </c>
      <c r="C19" s="118"/>
      <c r="D19" s="119"/>
      <c r="E19" s="112" t="s">
        <v>51</v>
      </c>
      <c r="F19" s="112"/>
      <c r="G19" s="112"/>
      <c r="H19" s="114"/>
      <c r="I19" s="115">
        <v>1</v>
      </c>
      <c r="J19" s="103" t="s">
        <v>16</v>
      </c>
      <c r="K19" s="71" t="s">
        <v>19</v>
      </c>
      <c r="L19" s="70"/>
      <c r="M19" s="70" t="b">
        <f t="shared" si="0"/>
        <v>0</v>
      </c>
      <c r="N19" s="116" t="str" cm="1">
        <f t="array" ref="N19">_xlfn.IFS(J19="TaiNT51",T19,J19="HuongNTC2",U19,J19="KhanhKT",V19,J19="PhuongLHK",W19)</f>
        <v>Not Pass</v>
      </c>
      <c r="O19" s="116" t="str" cm="1">
        <f t="array" ref="O19">_xlfn.IFS(K19="TaiNT51",T19,K19="HuongNTC2",U19,K19="KhanhKT",V19,K19="PhuongLHK",W19)</f>
        <v>Not Pass</v>
      </c>
      <c r="P19" s="70" cm="1">
        <f t="array" ref="P19">_xlfn.IFS(N19="Pass",1,N19="Not Pass",-1,N19="Consider",0)+_xlfn.IFS(O19="Pass",1,O19="Not Pass",-1,O19="Consider",0)</f>
        <v>-2</v>
      </c>
      <c r="Q19" s="116" t="str">
        <f t="shared" si="1"/>
        <v/>
      </c>
      <c r="R19" s="70" cm="1">
        <f t="array" ref="R19">P19+_xlfn.IFS(Q19="Pass",1,Q19="Not Pass",-1,TRUE,0)</f>
        <v>-2</v>
      </c>
      <c r="S19" s="116" t="str" cm="1">
        <f t="array" ref="S19">_xlfn.IFS(R19&gt;0,"Pass",R19=0,"Consider",R19&lt;0,"Not Pass")</f>
        <v>Not Pass</v>
      </c>
      <c r="T19" s="69">
        <f t="shared" si="2"/>
        <v>0</v>
      </c>
      <c r="U19" s="69">
        <f t="shared" si="3"/>
        <v>0</v>
      </c>
      <c r="V19" s="69" t="str">
        <f t="shared" si="4"/>
        <v>Not Pass</v>
      </c>
      <c r="W19" s="69" t="str">
        <f t="shared" si="5"/>
        <v>Not Pass</v>
      </c>
      <c r="X19" s="69">
        <f t="shared" si="6"/>
        <v>0</v>
      </c>
      <c r="Y19" s="69">
        <f t="shared" si="7"/>
        <v>0</v>
      </c>
      <c r="Z19" s="69" t="str">
        <f t="shared" si="8"/>
        <v>- Nhóm đề tài này làm khá nhiều nhưng trong đề tài ngoại trừ 3D mô hình hóa nhưng nghiệp vụ vẫn là quan trọng và đã làm nhiều trong các đề tài khác.</v>
      </c>
      <c r="AA19" s="69">
        <f t="shared" si="9"/>
        <v>0</v>
      </c>
      <c r="AB19" s="69" t="str">
        <f t="shared" si="10"/>
        <v>00- Nhóm đề tài này làm khá nhiều nhưng trong đề tài ngoại trừ 3D mô hình hóa nhưng nghiệp vụ vẫn là quan trọng và đã làm nhiều trong các đề tài khác.0</v>
      </c>
    </row>
    <row r="20" spans="1:28" s="69" customFormat="1" ht="31.5" customHeight="1">
      <c r="A20" s="111">
        <v>19</v>
      </c>
      <c r="B20" s="112" t="s">
        <v>247</v>
      </c>
      <c r="C20" s="120"/>
      <c r="D20" s="118"/>
      <c r="E20" s="112" t="s">
        <v>51</v>
      </c>
      <c r="F20" s="112"/>
      <c r="G20" s="112"/>
      <c r="H20" s="114"/>
      <c r="I20" s="115">
        <v>1</v>
      </c>
      <c r="J20" s="103" t="s">
        <v>225</v>
      </c>
      <c r="K20" s="71" t="s">
        <v>19</v>
      </c>
      <c r="L20" s="70"/>
      <c r="M20" s="70" t="b">
        <f t="shared" si="0"/>
        <v>0</v>
      </c>
      <c r="N20" s="116" t="str" cm="1">
        <f t="array" ref="N20">_xlfn.IFS(J20="TaiNT51",T20,J20="HuongNTC2",U20,J20="KhanhKT",V20,J20="PhuongLHK",W20)</f>
        <v>Not Pass</v>
      </c>
      <c r="O20" s="116" t="str" cm="1">
        <f t="array" ref="O20">_xlfn.IFS(K20="TaiNT51",T20,K20="HuongNTC2",U20,K20="KhanhKT",V20,K20="PhuongLHK",W20)</f>
        <v>Not Pass</v>
      </c>
      <c r="P20" s="70" cm="1">
        <f t="array" ref="P20">_xlfn.IFS(N20="Pass",1,N20="Not Pass",-1,N20="Consider",0)+_xlfn.IFS(O20="Pass",1,O20="Not Pass",-1,O20="Consider",0)</f>
        <v>-2</v>
      </c>
      <c r="Q20" s="116" t="str">
        <f t="shared" si="1"/>
        <v/>
      </c>
      <c r="R20" s="70" cm="1">
        <f t="array" ref="R20">P20+_xlfn.IFS(Q20="Pass",1,Q20="Not Pass",-1,TRUE,0)</f>
        <v>-2</v>
      </c>
      <c r="S20" s="116" t="str" cm="1">
        <f t="array" ref="S20">_xlfn.IFS(R20&gt;0,"Pass",R20=0,"Consider",R20&lt;0,"Not Pass")</f>
        <v>Not Pass</v>
      </c>
      <c r="T20" s="69">
        <f t="shared" si="2"/>
        <v>0</v>
      </c>
      <c r="U20" s="69" t="str">
        <f t="shared" si="3"/>
        <v>Not Pass</v>
      </c>
      <c r="V20" s="69">
        <f t="shared" si="4"/>
        <v>0</v>
      </c>
      <c r="W20" s="69" t="str">
        <f t="shared" si="5"/>
        <v>Not Pass</v>
      </c>
      <c r="X20" s="69">
        <f t="shared" si="6"/>
        <v>0</v>
      </c>
      <c r="Y20" s="69" t="str">
        <f t="shared" si="7"/>
        <v>đề tài quá rộng và không biết phải giải quyết bài toán business nào</v>
      </c>
      <c r="Z20" s="69">
        <f t="shared" si="8"/>
        <v>0</v>
      </c>
      <c r="AA20" s="69">
        <f t="shared" si="9"/>
        <v>0</v>
      </c>
      <c r="AB20" s="69" t="str">
        <f t="shared" si="10"/>
        <v>0đề tài quá rộng và không biết phải giải quyết bài toán business nào00</v>
      </c>
    </row>
    <row r="21" spans="1:28" s="69" customFormat="1" ht="16" customHeight="1">
      <c r="A21" s="111">
        <v>20</v>
      </c>
      <c r="B21" s="112" t="s">
        <v>248</v>
      </c>
      <c r="C21" s="121"/>
      <c r="D21" s="117"/>
      <c r="E21" s="112" t="s">
        <v>53</v>
      </c>
      <c r="F21" s="112"/>
      <c r="G21" s="112"/>
      <c r="H21" s="114"/>
      <c r="I21" s="115">
        <v>1</v>
      </c>
      <c r="J21" s="103" t="s">
        <v>225</v>
      </c>
      <c r="K21" s="71" t="s">
        <v>19</v>
      </c>
      <c r="L21" s="70"/>
      <c r="M21" s="70" t="b">
        <f t="shared" si="0"/>
        <v>0</v>
      </c>
      <c r="N21" s="116" t="str" cm="1">
        <f t="array" ref="N21">_xlfn.IFS(J21="TaiNT51",T21,J21="HuongNTC2",U21,J21="KhanhKT",V21,J21="PhuongLHK",W21)</f>
        <v>Consider</v>
      </c>
      <c r="O21" s="116" t="str" cm="1">
        <f t="array" ref="O21">_xlfn.IFS(K21="TaiNT51",T21,K21="HuongNTC2",U21,K21="KhanhKT",V21,K21="PhuongLHK",W21)</f>
        <v>Not Pass</v>
      </c>
      <c r="P21" s="70" cm="1">
        <f t="array" ref="P21">_xlfn.IFS(N21="Pass",1,N21="Not Pass",-1,N21="Consider",0)+_xlfn.IFS(O21="Pass",1,O21="Not Pass",-1,O21="Consider",0)</f>
        <v>-1</v>
      </c>
      <c r="Q21" s="116" t="str">
        <f t="shared" si="1"/>
        <v/>
      </c>
      <c r="R21" s="70" cm="1">
        <f t="array" ref="R21">P21+_xlfn.IFS(Q21="Pass",1,Q21="Not Pass",-1,TRUE,0)</f>
        <v>-1</v>
      </c>
      <c r="S21" s="116" t="str" cm="1">
        <f t="array" ref="S21">_xlfn.IFS(R21&gt;0,"Pass",R21=0,"Consider",R21&lt;0,"Not Pass")</f>
        <v>Not Pass</v>
      </c>
      <c r="T21" s="69">
        <f t="shared" si="2"/>
        <v>0</v>
      </c>
      <c r="U21" s="69" t="str">
        <f t="shared" si="3"/>
        <v>Consider</v>
      </c>
      <c r="V21" s="69">
        <f t="shared" si="4"/>
        <v>0</v>
      </c>
      <c r="W21" s="69" t="str">
        <f t="shared" si="5"/>
        <v>Not Pass</v>
      </c>
      <c r="X21" s="69">
        <f t="shared" si="6"/>
        <v>0</v>
      </c>
      <c r="Y21" s="69" t="str">
        <f t="shared" si="7"/>
        <v>Đề tài còn chứa nhiều chỗ comments. Cần chỉnh sửa và review lại</v>
      </c>
      <c r="Z21" s="69">
        <f t="shared" si="8"/>
        <v>0</v>
      </c>
      <c r="AA21" s="69">
        <f t="shared" si="9"/>
        <v>0</v>
      </c>
      <c r="AB21" s="69" t="str">
        <f t="shared" si="10"/>
        <v>0Đề tài còn chứa nhiều chỗ comments. Cần chỉnh sửa và review lại00</v>
      </c>
    </row>
    <row r="22" spans="1:28" s="69" customFormat="1" ht="31.5" customHeight="1">
      <c r="A22" s="111">
        <v>21</v>
      </c>
      <c r="B22" s="112" t="s">
        <v>249</v>
      </c>
      <c r="C22" s="121"/>
      <c r="D22" s="121"/>
      <c r="E22" s="112" t="s">
        <v>53</v>
      </c>
      <c r="F22" s="112"/>
      <c r="G22" s="112"/>
      <c r="H22" s="114"/>
      <c r="I22" s="115">
        <v>1</v>
      </c>
      <c r="J22" s="103" t="s">
        <v>225</v>
      </c>
      <c r="K22" s="71" t="s">
        <v>19</v>
      </c>
      <c r="L22" s="70"/>
      <c r="M22" s="70" t="b">
        <f t="shared" si="0"/>
        <v>0</v>
      </c>
      <c r="N22" s="116" t="str" cm="1">
        <f t="array" ref="N22">_xlfn.IFS(J22="TaiNT51",T22,J22="HuongNTC2",U22,J22="KhanhKT",V22,J22="PhuongLHK",W22)</f>
        <v>Not Pass</v>
      </c>
      <c r="O22" s="116" t="str" cm="1">
        <f t="array" ref="O22">_xlfn.IFS(K22="TaiNT51",T22,K22="HuongNTC2",U22,K22="KhanhKT",V22,K22="PhuongLHK",W22)</f>
        <v>Not Pass</v>
      </c>
      <c r="P22" s="70" cm="1">
        <f t="array" ref="P22">_xlfn.IFS(N22="Pass",1,N22="Not Pass",-1,N22="Consider",0)+_xlfn.IFS(O22="Pass",1,O22="Not Pass",-1,O22="Consider",0)</f>
        <v>-2</v>
      </c>
      <c r="Q22" s="116" t="str">
        <f t="shared" si="1"/>
        <v/>
      </c>
      <c r="R22" s="70" cm="1">
        <f t="array" ref="R22">P22+_xlfn.IFS(Q22="Pass",1,Q22="Not Pass",-1,TRUE,0)</f>
        <v>-2</v>
      </c>
      <c r="S22" s="116" t="str" cm="1">
        <f t="array" ref="S22">_xlfn.IFS(R22&gt;0,"Pass",R22=0,"Consider",R22&lt;0,"Not Pass")</f>
        <v>Not Pass</v>
      </c>
      <c r="T22" s="69">
        <f t="shared" si="2"/>
        <v>0</v>
      </c>
      <c r="U22" s="69" t="str">
        <f t="shared" si="3"/>
        <v>Not Pass</v>
      </c>
      <c r="V22" s="69">
        <f t="shared" si="4"/>
        <v>0</v>
      </c>
      <c r="W22" s="69" t="str">
        <f t="shared" si="5"/>
        <v>Not Pass</v>
      </c>
      <c r="X22" s="69">
        <f t="shared" si="6"/>
        <v>0</v>
      </c>
      <c r="Y22" s="69" t="str">
        <f t="shared" si="7"/>
        <v>Đề tài thuộc nhóm đề tài SWP391</v>
      </c>
      <c r="Z22" s="69">
        <f t="shared" si="8"/>
        <v>0</v>
      </c>
      <c r="AA22" s="69">
        <f t="shared" si="9"/>
        <v>0</v>
      </c>
      <c r="AB22" s="69" t="str">
        <f t="shared" si="10"/>
        <v>0Đề tài thuộc nhóm đề tài SWP39100</v>
      </c>
    </row>
    <row r="23" spans="1:28" s="69" customFormat="1" ht="31.5" customHeight="1">
      <c r="A23" s="111">
        <v>22</v>
      </c>
      <c r="B23" s="112" t="s">
        <v>250</v>
      </c>
      <c r="C23" s="117"/>
      <c r="D23" s="121"/>
      <c r="E23" s="112" t="s">
        <v>53</v>
      </c>
      <c r="F23" s="112"/>
      <c r="G23" s="112"/>
      <c r="H23" s="114"/>
      <c r="I23" s="115">
        <v>1</v>
      </c>
      <c r="J23" s="103" t="s">
        <v>225</v>
      </c>
      <c r="K23" s="71" t="s">
        <v>16</v>
      </c>
      <c r="L23" s="70"/>
      <c r="M23" s="70" t="b">
        <f t="shared" si="0"/>
        <v>0</v>
      </c>
      <c r="N23" s="116" t="str" cm="1">
        <f t="array" ref="N23">_xlfn.IFS(J23="TaiNT51",T23,J23="HuongNTC2",U23,J23="KhanhKT",V23,J23="PhuongLHK",W23)</f>
        <v>Pass</v>
      </c>
      <c r="O23" s="116" t="str" cm="1">
        <f t="array" ref="O23">_xlfn.IFS(K23="TaiNT51",T23,K23="HuongNTC2",U23,K23="KhanhKT",V23,K23="PhuongLHK",W23)</f>
        <v>Consider</v>
      </c>
      <c r="P23" s="70" cm="1">
        <f t="array" ref="P23">_xlfn.IFS(N23="Pass",1,N23="Not Pass",-1,N23="Consider",0)+_xlfn.IFS(O23="Pass",1,O23="Not Pass",-1,O23="Consider",0)</f>
        <v>1</v>
      </c>
      <c r="Q23" s="116" t="str">
        <f t="shared" si="1"/>
        <v/>
      </c>
      <c r="R23" s="70" cm="1">
        <f t="array" ref="R23">P23+_xlfn.IFS(Q23="Pass",1,Q23="Not Pass",-1,TRUE,0)</f>
        <v>1</v>
      </c>
      <c r="S23" s="116" t="str" cm="1">
        <f t="array" ref="S23">_xlfn.IFS(R23&gt;0,"Pass",R23=0,"Consider",R23&lt;0,"Not Pass")</f>
        <v>Pass</v>
      </c>
      <c r="T23" s="69">
        <f t="shared" si="2"/>
        <v>0</v>
      </c>
      <c r="U23" s="69" t="str">
        <f t="shared" si="3"/>
        <v>Pass</v>
      </c>
      <c r="V23" s="69" t="str">
        <f t="shared" si="4"/>
        <v>Consider</v>
      </c>
      <c r="W23" s="69">
        <f t="shared" si="5"/>
        <v>0</v>
      </c>
      <c r="X23" s="69">
        <f t="shared" si="6"/>
        <v>0</v>
      </c>
      <c r="Y23" s="69">
        <f t="shared" si="7"/>
        <v>0</v>
      </c>
      <c r="Z23" s="69" t="str">
        <f t="shared" si="8"/>
        <v>'Cần bổ sung quy core flow cụ thể để giúp sv fix scope nội dung thực hiện cũng như bảo vệ trên hội đồng.</v>
      </c>
      <c r="AA23" s="69">
        <f t="shared" si="9"/>
        <v>0</v>
      </c>
      <c r="AB23" s="69" t="str">
        <f t="shared" si="10"/>
        <v>00'Cần bổ sung quy core flow cụ thể để giúp sv fix scope nội dung thực hiện cũng như bảo vệ trên hội đồng.0</v>
      </c>
    </row>
    <row r="24" spans="1:28" s="69" customFormat="1" ht="31.5" customHeight="1">
      <c r="A24" s="111">
        <v>24</v>
      </c>
      <c r="B24" s="112" t="s">
        <v>252</v>
      </c>
      <c r="C24" s="121"/>
      <c r="D24" s="121"/>
      <c r="E24" s="112" t="s">
        <v>53</v>
      </c>
      <c r="F24" s="112"/>
      <c r="G24" s="112"/>
      <c r="H24" s="114"/>
      <c r="I24" s="115">
        <v>1</v>
      </c>
      <c r="J24" s="103" t="s">
        <v>221</v>
      </c>
      <c r="K24" s="71" t="s">
        <v>19</v>
      </c>
      <c r="L24" s="70"/>
      <c r="M24" s="70" t="b">
        <f t="shared" si="0"/>
        <v>0</v>
      </c>
      <c r="N24" s="116" t="str" cm="1">
        <f t="array" ref="N24">_xlfn.IFS(J24="TaiNT51",T24,J24="HuongNTC2",U24,J24="KhanhKT",V24,J24="PhuongLHK",W24)</f>
        <v>Pass</v>
      </c>
      <c r="O24" s="116" t="str" cm="1">
        <f t="array" ref="O24">_xlfn.IFS(K24="TaiNT51",T24,K24="HuongNTC2",U24,K24="KhanhKT",V24,K24="PhuongLHK",W24)</f>
        <v>Pass</v>
      </c>
      <c r="P24" s="70" cm="1">
        <f t="array" ref="P24">_xlfn.IFS(N24="Pass",1,N24="Not Pass",-1,N24="Consider",0)+_xlfn.IFS(O24="Pass",1,O24="Not Pass",-1,O24="Consider",0)</f>
        <v>2</v>
      </c>
      <c r="Q24" s="116" t="str">
        <f t="shared" si="1"/>
        <v/>
      </c>
      <c r="R24" s="70" cm="1">
        <f t="array" ref="R24">P24+_xlfn.IFS(Q24="Pass",1,Q24="Not Pass",-1,TRUE,0)</f>
        <v>2</v>
      </c>
      <c r="S24" s="116" t="str" cm="1">
        <f t="array" ref="S24">_xlfn.IFS(R24&gt;0,"Pass",R24=0,"Consider",R24&lt;0,"Not Pass")</f>
        <v>Pass</v>
      </c>
      <c r="T24" s="69" t="str">
        <f t="shared" si="2"/>
        <v>Pass</v>
      </c>
      <c r="U24" s="69">
        <f t="shared" si="3"/>
        <v>0</v>
      </c>
      <c r="V24" s="69">
        <f t="shared" si="4"/>
        <v>0</v>
      </c>
      <c r="W24" s="69" t="str">
        <f t="shared" si="5"/>
        <v>Pass</v>
      </c>
      <c r="X24" s="69" t="str">
        <f t="shared" si="6"/>
        <v>Nên mô tả rõ thêm về các main-flow</v>
      </c>
      <c r="Y24" s="69">
        <f t="shared" si="7"/>
        <v>0</v>
      </c>
      <c r="Z24" s="69">
        <f t="shared" si="8"/>
        <v>0</v>
      </c>
      <c r="AA24" s="69">
        <f t="shared" si="9"/>
        <v>0</v>
      </c>
      <c r="AB24" s="69" t="str">
        <f t="shared" si="10"/>
        <v>Nên mô tả rõ thêm về các main-flow000</v>
      </c>
    </row>
    <row r="25" spans="1:28" s="69" customFormat="1" ht="15.5">
      <c r="A25" s="111">
        <v>25</v>
      </c>
      <c r="B25" s="112" t="s">
        <v>253</v>
      </c>
      <c r="C25" s="117"/>
      <c r="D25" s="117"/>
      <c r="E25" s="112" t="s">
        <v>53</v>
      </c>
      <c r="F25" s="112"/>
      <c r="G25" s="112"/>
      <c r="H25" s="114"/>
      <c r="I25" s="115">
        <v>1</v>
      </c>
      <c r="J25" s="103" t="s">
        <v>221</v>
      </c>
      <c r="K25" s="71" t="s">
        <v>19</v>
      </c>
      <c r="L25" s="70"/>
      <c r="M25" s="70" t="b">
        <f t="shared" si="0"/>
        <v>0</v>
      </c>
      <c r="N25" s="116" t="str" cm="1">
        <f t="array" ref="N25">_xlfn.IFS(J25="TaiNT51",T25,J25="HuongNTC2",U25,J25="KhanhKT",V25,J25="PhuongLHK",W25)</f>
        <v>Pass</v>
      </c>
      <c r="O25" s="116" t="str" cm="1">
        <f t="array" ref="O25">_xlfn.IFS(K25="TaiNT51",T25,K25="HuongNTC2",U25,K25="KhanhKT",V25,K25="PhuongLHK",W25)</f>
        <v>Pass</v>
      </c>
      <c r="P25" s="70" cm="1">
        <f t="array" ref="P25">_xlfn.IFS(N25="Pass",1,N25="Not Pass",-1,N25="Consider",0)+_xlfn.IFS(O25="Pass",1,O25="Not Pass",-1,O25="Consider",0)</f>
        <v>2</v>
      </c>
      <c r="Q25" s="116" t="str">
        <f t="shared" si="1"/>
        <v/>
      </c>
      <c r="R25" s="70" cm="1">
        <f t="array" ref="R25">P25+_xlfn.IFS(Q25="Pass",1,Q25="Not Pass",-1,TRUE,0)</f>
        <v>2</v>
      </c>
      <c r="S25" s="116" t="str" cm="1">
        <f t="array" ref="S25">_xlfn.IFS(R25&gt;0,"Pass",R25=0,"Consider",R25&lt;0,"Not Pass")</f>
        <v>Pass</v>
      </c>
      <c r="T25" s="69" t="str">
        <f t="shared" si="2"/>
        <v>Pass</v>
      </c>
      <c r="U25" s="69">
        <f t="shared" si="3"/>
        <v>0</v>
      </c>
      <c r="V25" s="69">
        <f t="shared" si="4"/>
        <v>0</v>
      </c>
      <c r="W25" s="69" t="str">
        <f t="shared" si="5"/>
        <v>Pass</v>
      </c>
      <c r="X25" s="69" t="str">
        <f t="shared" si="6"/>
        <v>Nên mô tả rõ thêm về các main-flow  cũng như quy tắc nghiệp vụ liên quan tới thanh toán</v>
      </c>
      <c r="Y25" s="69">
        <f t="shared" si="7"/>
        <v>0</v>
      </c>
      <c r="Z25" s="69">
        <f t="shared" si="8"/>
        <v>0</v>
      </c>
      <c r="AA25" s="69">
        <f t="shared" si="9"/>
        <v>0</v>
      </c>
      <c r="AB25" s="69" t="str">
        <f t="shared" si="10"/>
        <v>Nên mô tả rõ thêm về các main-flow  cũng như quy tắc nghiệp vụ liên quan tới thanh toán000</v>
      </c>
    </row>
    <row r="26" spans="1:28" s="69" customFormat="1" ht="31.5" customHeight="1">
      <c r="A26" s="111">
        <v>26</v>
      </c>
      <c r="B26" s="112" t="s">
        <v>254</v>
      </c>
      <c r="C26" s="112"/>
      <c r="D26" s="112"/>
      <c r="E26" s="112" t="s">
        <v>53</v>
      </c>
      <c r="F26" s="112"/>
      <c r="G26" s="112"/>
      <c r="H26" s="112" t="s">
        <v>223</v>
      </c>
      <c r="I26" s="115">
        <v>1</v>
      </c>
      <c r="J26" s="103" t="s">
        <v>221</v>
      </c>
      <c r="K26" s="71" t="s">
        <v>19</v>
      </c>
      <c r="L26" s="70"/>
      <c r="M26" s="70" t="b">
        <f t="shared" si="0"/>
        <v>0</v>
      </c>
      <c r="N26" s="116" t="str" cm="1">
        <f t="array" ref="N26">_xlfn.IFS(J26="TaiNT51",T26,J26="HuongNTC2",U26,J26="KhanhKT",V26,J26="PhuongLHK",W26)</f>
        <v>Pass</v>
      </c>
      <c r="O26" s="116" t="str" cm="1">
        <f t="array" ref="O26">_xlfn.IFS(K26="TaiNT51",T26,K26="HuongNTC2",U26,K26="KhanhKT",V26,K26="PhuongLHK",W26)</f>
        <v>Pass</v>
      </c>
      <c r="P26" s="70" cm="1">
        <f t="array" ref="P26">_xlfn.IFS(N26="Pass",1,N26="Not Pass",-1,N26="Consider",0)+_xlfn.IFS(O26="Pass",1,O26="Not Pass",-1,O26="Consider",0)</f>
        <v>2</v>
      </c>
      <c r="Q26" s="116" t="str">
        <f t="shared" si="1"/>
        <v/>
      </c>
      <c r="R26" s="70" cm="1">
        <f t="array" ref="R26">P26+_xlfn.IFS(Q26="Pass",1,Q26="Not Pass",-1,TRUE,0)</f>
        <v>2</v>
      </c>
      <c r="S26" s="116" t="str" cm="1">
        <f t="array" ref="S26">_xlfn.IFS(R26&gt;0,"Pass",R26=0,"Consider",R26&lt;0,"Not Pass")</f>
        <v>Pass</v>
      </c>
      <c r="T26" s="69" t="str">
        <f t="shared" si="2"/>
        <v>Pass</v>
      </c>
      <c r="U26" s="69">
        <f t="shared" si="3"/>
        <v>0</v>
      </c>
      <c r="V26" s="69">
        <f t="shared" si="4"/>
        <v>0</v>
      </c>
      <c r="W26" s="69" t="str">
        <f t="shared" si="5"/>
        <v>Pass</v>
      </c>
      <c r="X26" s="69" t="str">
        <f t="shared" si="6"/>
        <v xml:space="preserve">Nên mô tả rõ thêm về các main-flow </v>
      </c>
      <c r="Y26" s="69">
        <f t="shared" si="7"/>
        <v>0</v>
      </c>
      <c r="Z26" s="69">
        <f t="shared" si="8"/>
        <v>0</v>
      </c>
      <c r="AA26" s="69">
        <f t="shared" si="9"/>
        <v>0</v>
      </c>
      <c r="AB26" s="69" t="str">
        <f t="shared" si="10"/>
        <v>Nên mô tả rõ thêm về các main-flow 000</v>
      </c>
    </row>
    <row r="27" spans="1:28" s="69" customFormat="1" ht="31.5" customHeight="1">
      <c r="A27" s="111">
        <v>27</v>
      </c>
      <c r="B27" s="112" t="s">
        <v>255</v>
      </c>
      <c r="C27" s="117"/>
      <c r="D27" s="117"/>
      <c r="E27" s="112" t="s">
        <v>53</v>
      </c>
      <c r="F27" s="112"/>
      <c r="G27" s="112"/>
      <c r="H27" s="114"/>
      <c r="I27" s="115">
        <v>1</v>
      </c>
      <c r="J27" s="103" t="s">
        <v>221</v>
      </c>
      <c r="K27" s="71" t="s">
        <v>19</v>
      </c>
      <c r="L27" s="70"/>
      <c r="M27" s="70" t="b">
        <f t="shared" si="0"/>
        <v>0</v>
      </c>
      <c r="N27" s="116" t="str" cm="1">
        <f t="array" ref="N27">_xlfn.IFS(J27="TaiNT51",T27,J27="HuongNTC2",U27,J27="KhanhKT",V27,J27="PhuongLHK",W27)</f>
        <v>Pass</v>
      </c>
      <c r="O27" s="116" t="str" cm="1">
        <f t="array" ref="O27">_xlfn.IFS(K27="TaiNT51",T27,K27="HuongNTC2",U27,K27="KhanhKT",V27,K27="PhuongLHK",W27)</f>
        <v>Pass</v>
      </c>
      <c r="P27" s="70" cm="1">
        <f t="array" ref="P27">_xlfn.IFS(N27="Pass",1,N27="Not Pass",-1,N27="Consider",0)+_xlfn.IFS(O27="Pass",1,O27="Not Pass",-1,O27="Consider",0)</f>
        <v>2</v>
      </c>
      <c r="Q27" s="116" t="str">
        <f t="shared" si="1"/>
        <v/>
      </c>
      <c r="R27" s="70" cm="1">
        <f t="array" ref="R27">P27+_xlfn.IFS(Q27="Pass",1,Q27="Not Pass",-1,TRUE,0)</f>
        <v>2</v>
      </c>
      <c r="S27" s="116" t="str" cm="1">
        <f t="array" ref="S27">_xlfn.IFS(R27&gt;0,"Pass",R27=0,"Consider",R27&lt;0,"Not Pass")</f>
        <v>Pass</v>
      </c>
      <c r="T27" s="69" t="str">
        <f t="shared" si="2"/>
        <v>Pass</v>
      </c>
      <c r="U27" s="69">
        <f t="shared" si="3"/>
        <v>0</v>
      </c>
      <c r="V27" s="69">
        <f t="shared" si="4"/>
        <v>0</v>
      </c>
      <c r="W27" s="69" t="str">
        <f t="shared" si="5"/>
        <v>Pass</v>
      </c>
      <c r="X27" s="69" t="str">
        <f t="shared" si="6"/>
        <v>Nên mô tả rõ thêm về các main-flow</v>
      </c>
      <c r="Y27" s="69">
        <f t="shared" si="7"/>
        <v>0</v>
      </c>
      <c r="Z27" s="69">
        <f t="shared" si="8"/>
        <v>0</v>
      </c>
      <c r="AA27" s="69">
        <f t="shared" si="9"/>
        <v>0</v>
      </c>
      <c r="AB27" s="69" t="str">
        <f t="shared" si="10"/>
        <v>Nên mô tả rõ thêm về các main-flow000</v>
      </c>
    </row>
    <row r="28" spans="1:28" s="69" customFormat="1" ht="15.5">
      <c r="A28" s="111">
        <v>28</v>
      </c>
      <c r="B28" s="112" t="s">
        <v>256</v>
      </c>
      <c r="C28" s="117"/>
      <c r="D28" s="117"/>
      <c r="E28" s="112" t="s">
        <v>53</v>
      </c>
      <c r="F28" s="112"/>
      <c r="G28" s="112"/>
      <c r="H28" s="114"/>
      <c r="I28" s="115">
        <v>1</v>
      </c>
      <c r="J28" s="103" t="s">
        <v>221</v>
      </c>
      <c r="K28" s="71" t="s">
        <v>19</v>
      </c>
      <c r="L28" s="70"/>
      <c r="M28" s="70" t="b">
        <f t="shared" si="0"/>
        <v>0</v>
      </c>
      <c r="N28" s="116" t="str" cm="1">
        <f t="array" ref="N28">_xlfn.IFS(J28="TaiNT51",T28,J28="HuongNTC2",U28,J28="KhanhKT",V28,J28="PhuongLHK",W28)</f>
        <v>Pass</v>
      </c>
      <c r="O28" s="116" t="str" cm="1">
        <f t="array" ref="O28">_xlfn.IFS(K28="TaiNT51",T28,K28="HuongNTC2",U28,K28="KhanhKT",V28,K28="PhuongLHK",W28)</f>
        <v>Pass</v>
      </c>
      <c r="P28" s="70" cm="1">
        <f t="array" ref="P28">_xlfn.IFS(N28="Pass",1,N28="Not Pass",-1,N28="Consider",0)+_xlfn.IFS(O28="Pass",1,O28="Not Pass",-1,O28="Consider",0)</f>
        <v>2</v>
      </c>
      <c r="Q28" s="116" t="str">
        <f t="shared" si="1"/>
        <v/>
      </c>
      <c r="R28" s="70" cm="1">
        <f t="array" ref="R28">P28+_xlfn.IFS(Q28="Pass",1,Q28="Not Pass",-1,TRUE,0)</f>
        <v>2</v>
      </c>
      <c r="S28" s="116" t="str" cm="1">
        <f t="array" ref="S28">_xlfn.IFS(R28&gt;0,"Pass",R28=0,"Consider",R28&lt;0,"Not Pass")</f>
        <v>Pass</v>
      </c>
      <c r="T28" s="69" t="str">
        <f t="shared" si="2"/>
        <v>Pass</v>
      </c>
      <c r="U28" s="69">
        <f t="shared" si="3"/>
        <v>0</v>
      </c>
      <c r="V28" s="69">
        <f t="shared" si="4"/>
        <v>0</v>
      </c>
      <c r="W28" s="69" t="str">
        <f t="shared" si="5"/>
        <v>Pass</v>
      </c>
      <c r="X28" s="69" t="str">
        <f t="shared" si="6"/>
        <v>Nên mô tả rõ thêm về các main-flow</v>
      </c>
      <c r="Y28" s="69">
        <f t="shared" si="7"/>
        <v>0</v>
      </c>
      <c r="Z28" s="69">
        <f t="shared" si="8"/>
        <v>0</v>
      </c>
      <c r="AA28" s="69">
        <f t="shared" si="9"/>
        <v>0</v>
      </c>
      <c r="AB28" s="69" t="str">
        <f t="shared" si="10"/>
        <v>Nên mô tả rõ thêm về các main-flow000</v>
      </c>
    </row>
    <row r="29" spans="1:28" s="69" customFormat="1" ht="15.5">
      <c r="A29" s="111">
        <v>29</v>
      </c>
      <c r="B29" s="112" t="s">
        <v>257</v>
      </c>
      <c r="C29" s="117"/>
      <c r="D29" s="117"/>
      <c r="E29" s="112" t="s">
        <v>53</v>
      </c>
      <c r="F29" s="112"/>
      <c r="G29" s="112"/>
      <c r="H29" s="114"/>
      <c r="I29" s="115">
        <v>1</v>
      </c>
      <c r="J29" s="103" t="s">
        <v>221</v>
      </c>
      <c r="K29" s="71" t="s">
        <v>16</v>
      </c>
      <c r="L29" s="70" t="s">
        <v>19</v>
      </c>
      <c r="M29" s="70" t="b">
        <f t="shared" si="0"/>
        <v>0</v>
      </c>
      <c r="N29" s="116" t="str" cm="1">
        <f t="array" ref="N29">_xlfn.IFS(J29="TaiNT51",T29,J29="HuongNTC2",U29,J29="KhanhKT",V29,J29="PhuongLHK",W29)</f>
        <v>Consider</v>
      </c>
      <c r="O29" s="116" t="str" cm="1">
        <f t="array" ref="O29">_xlfn.IFS(K29="TaiNT51",T29,K29="HuongNTC2",U29,K29="KhanhKT",V29,K29="PhuongLHK",W29)</f>
        <v>Consider</v>
      </c>
      <c r="P29" s="70" cm="1">
        <f t="array" ref="P29">_xlfn.IFS(N29="Pass",1,N29="Not Pass",-1,N29="Consider",0)+_xlfn.IFS(O29="Pass",1,O29="Not Pass",-1,O29="Consider",0)</f>
        <v>0</v>
      </c>
      <c r="Q29" s="116" t="str">
        <f t="shared" si="1"/>
        <v>Not Pass</v>
      </c>
      <c r="R29" s="70" cm="1">
        <f t="array" ref="R29">P29+_xlfn.IFS(Q29="Pass",1,Q29="Not Pass",-1,TRUE,0)</f>
        <v>-1</v>
      </c>
      <c r="S29" s="116" t="str" cm="1">
        <f t="array" ref="S29">_xlfn.IFS(R29&gt;0,"Pass",R29=0,"Consider",R29&lt;0,"Not Pass")</f>
        <v>Not Pass</v>
      </c>
      <c r="T29" s="69" t="str">
        <f t="shared" si="2"/>
        <v>Consider</v>
      </c>
      <c r="U29" s="69">
        <f t="shared" si="3"/>
        <v>0</v>
      </c>
      <c r="V29" s="69" t="str">
        <f t="shared" si="4"/>
        <v>Consider</v>
      </c>
      <c r="W29" s="69" t="str">
        <f t="shared" si="5"/>
        <v>Not Pass</v>
      </c>
      <c r="X29" s="69" t="str">
        <f t="shared" si="6"/>
        <v>Cần mô tả rõ hơn các quy trình nghiệp vụ và phạm vi của ĐATN (khá đơn giản)</v>
      </c>
      <c r="Y29" s="69">
        <f t="shared" si="7"/>
        <v>0</v>
      </c>
      <c r="Z29" s="69" t="str">
        <f t="shared" si="8"/>
        <v>- Cần nêu rõ core flow để hỗ trợ sv trong quá trình thực hiện và bảo vệ</v>
      </c>
      <c r="AA29" s="69">
        <f t="shared" si="9"/>
        <v>0</v>
      </c>
      <c r="AB29" s="69" t="str">
        <f t="shared" si="10"/>
        <v>Cần mô tả rõ hơn các quy trình nghiệp vụ và phạm vi của ĐATN (khá đơn giản)0- Cần nêu rõ core flow để hỗ trợ sv trong quá trình thực hiện và bảo vệ0</v>
      </c>
    </row>
    <row r="30" spans="1:28" s="69" customFormat="1" ht="47" customHeight="1">
      <c r="A30" s="111">
        <v>30</v>
      </c>
      <c r="B30" s="112" t="s">
        <v>258</v>
      </c>
      <c r="C30" s="121"/>
      <c r="D30" s="121"/>
      <c r="E30" s="112" t="s">
        <v>53</v>
      </c>
      <c r="F30" s="121"/>
      <c r="G30" s="121"/>
      <c r="H30" s="114"/>
      <c r="I30" s="115">
        <v>1</v>
      </c>
      <c r="J30" s="103" t="s">
        <v>221</v>
      </c>
      <c r="K30" s="71" t="s">
        <v>16</v>
      </c>
      <c r="L30" s="70"/>
      <c r="M30" s="70" t="b">
        <f t="shared" si="0"/>
        <v>0</v>
      </c>
      <c r="N30" s="116" t="str" cm="1">
        <f t="array" ref="N30">_xlfn.IFS(J30="TaiNT51",T30,J30="HuongNTC2",U30,J30="KhanhKT",V30,J30="PhuongLHK",W30)</f>
        <v>Consider</v>
      </c>
      <c r="O30" s="116" t="str" cm="1">
        <f t="array" ref="O30">_xlfn.IFS(K30="TaiNT51",T30,K30="HuongNTC2",U30,K30="KhanhKT",V30,K30="PhuongLHK",W30)</f>
        <v>Pass</v>
      </c>
      <c r="P30" s="70" cm="1">
        <f t="array" ref="P30">_xlfn.IFS(N30="Pass",1,N30="Not Pass",-1,N30="Consider",0)+_xlfn.IFS(O30="Pass",1,O30="Not Pass",-1,O30="Consider",0)</f>
        <v>1</v>
      </c>
      <c r="Q30" s="116" t="str">
        <f t="shared" si="1"/>
        <v/>
      </c>
      <c r="R30" s="70" cm="1">
        <f t="array" ref="R30">P30+_xlfn.IFS(Q30="Pass",1,Q30="Not Pass",-1,TRUE,0)</f>
        <v>1</v>
      </c>
      <c r="S30" s="116" t="str" cm="1">
        <f t="array" ref="S30">_xlfn.IFS(R30&gt;0,"Pass",R30=0,"Consider",R30&lt;0,"Not Pass")</f>
        <v>Pass</v>
      </c>
      <c r="T30" s="69" t="str">
        <f t="shared" si="2"/>
        <v>Consider</v>
      </c>
      <c r="U30" s="69">
        <f t="shared" si="3"/>
        <v>0</v>
      </c>
      <c r="V30" s="69" t="str">
        <f t="shared" si="4"/>
        <v>Pass</v>
      </c>
      <c r="W30" s="69">
        <f t="shared" si="5"/>
        <v>0</v>
      </c>
      <c r="X30" s="69" t="str">
        <f t="shared" si="6"/>
        <v>Cần mô tả rõ hơn các quy trình nghiệp vụP</v>
      </c>
      <c r="Y30" s="69">
        <f t="shared" si="7"/>
        <v>0</v>
      </c>
      <c r="Z30" s="69" t="str">
        <f t="shared" si="8"/>
        <v>- Cần nêu rõ core flow để hỗ trợ sv trong quá trình thực hiện và bảo vệ</v>
      </c>
      <c r="AA30" s="69">
        <f t="shared" si="9"/>
        <v>0</v>
      </c>
      <c r="AB30" s="69" t="str">
        <f t="shared" si="10"/>
        <v>Cần mô tả rõ hơn các quy trình nghiệp vụP0- Cần nêu rõ core flow để hỗ trợ sv trong quá trình thực hiện và bảo vệ0</v>
      </c>
    </row>
    <row r="31" spans="1:28" s="69" customFormat="1" ht="31.5" customHeight="1">
      <c r="A31" s="111">
        <v>31</v>
      </c>
      <c r="B31" s="112" t="s">
        <v>259</v>
      </c>
      <c r="C31" s="121"/>
      <c r="D31" s="121"/>
      <c r="E31" s="112" t="s">
        <v>53</v>
      </c>
      <c r="F31" s="121"/>
      <c r="G31" s="121"/>
      <c r="H31" s="114"/>
      <c r="I31" s="115">
        <v>1</v>
      </c>
      <c r="J31" s="103" t="s">
        <v>221</v>
      </c>
      <c r="K31" s="71" t="s">
        <v>16</v>
      </c>
      <c r="L31" s="70"/>
      <c r="M31" s="70" t="b">
        <f t="shared" si="0"/>
        <v>0</v>
      </c>
      <c r="N31" s="116" t="str" cm="1">
        <f t="array" ref="N31">_xlfn.IFS(J31="TaiNT51",T31,J31="HuongNTC2",U31,J31="KhanhKT",V31,J31="PhuongLHK",W31)</f>
        <v>Pass</v>
      </c>
      <c r="O31" s="116" t="str" cm="1">
        <f t="array" ref="O31">_xlfn.IFS(K31="TaiNT51",T31,K31="HuongNTC2",U31,K31="KhanhKT",V31,K31="PhuongLHK",W31)</f>
        <v>Pass</v>
      </c>
      <c r="P31" s="70" cm="1">
        <f t="array" ref="P31">_xlfn.IFS(N31="Pass",1,N31="Not Pass",-1,N31="Consider",0)+_xlfn.IFS(O31="Pass",1,O31="Not Pass",-1,O31="Consider",0)</f>
        <v>2</v>
      </c>
      <c r="Q31" s="116" t="str">
        <f t="shared" si="1"/>
        <v/>
      </c>
      <c r="R31" s="70" cm="1">
        <f t="array" ref="R31">P31+_xlfn.IFS(Q31="Pass",1,Q31="Not Pass",-1,TRUE,0)</f>
        <v>2</v>
      </c>
      <c r="S31" s="116" t="str" cm="1">
        <f t="array" ref="S31">_xlfn.IFS(R31&gt;0,"Pass",R31=0,"Consider",R31&lt;0,"Not Pass")</f>
        <v>Pass</v>
      </c>
      <c r="T31" s="69" t="str">
        <f t="shared" si="2"/>
        <v>Pass</v>
      </c>
      <c r="U31" s="69">
        <f t="shared" si="3"/>
        <v>0</v>
      </c>
      <c r="V31" s="69" t="str">
        <f t="shared" si="4"/>
        <v>Pass</v>
      </c>
      <c r="W31" s="69">
        <f t="shared" si="5"/>
        <v>0</v>
      </c>
      <c r="X31" s="69" t="str">
        <f t="shared" si="6"/>
        <v>Nên mô tả rõ thêm về các main-flow</v>
      </c>
      <c r="Y31" s="69">
        <f t="shared" si="7"/>
        <v>0</v>
      </c>
      <c r="Z31" s="69" t="str">
        <f t="shared" si="8"/>
        <v>- Cần nêu rõ core flow để hỗ trợ sv trong quá trình thực hiện và bảo vệ cùng việc thanh toán như thế nào</v>
      </c>
      <c r="AA31" s="69">
        <f t="shared" si="9"/>
        <v>0</v>
      </c>
      <c r="AB31" s="69" t="str">
        <f t="shared" si="10"/>
        <v>Nên mô tả rõ thêm về các main-flow0- Cần nêu rõ core flow để hỗ trợ sv trong quá trình thực hiện và bảo vệ cùng việc thanh toán như thế nào0</v>
      </c>
    </row>
    <row r="32" spans="1:28" s="69" customFormat="1" ht="31.5" customHeight="1">
      <c r="A32" s="111">
        <v>32</v>
      </c>
      <c r="B32" s="112" t="s">
        <v>260</v>
      </c>
      <c r="C32" s="121"/>
      <c r="D32" s="121"/>
      <c r="E32" s="112" t="s">
        <v>53</v>
      </c>
      <c r="F32" s="121"/>
      <c r="G32" s="121"/>
      <c r="H32" s="114"/>
      <c r="I32" s="115">
        <v>1</v>
      </c>
      <c r="J32" s="103" t="s">
        <v>221</v>
      </c>
      <c r="K32" s="71" t="s">
        <v>225</v>
      </c>
      <c r="L32" s="70"/>
      <c r="M32" s="70" t="b">
        <f t="shared" si="0"/>
        <v>0</v>
      </c>
      <c r="N32" s="116" t="str" cm="1">
        <f t="array" ref="N32">_xlfn.IFS(J32="TaiNT51",T32,J32="HuongNTC2",U32,J32="KhanhKT",V32,J32="PhuongLHK",W32)</f>
        <v>Pass</v>
      </c>
      <c r="O32" s="116" t="str" cm="1">
        <f t="array" ref="O32">_xlfn.IFS(K32="TaiNT51",T32,K32="HuongNTC2",U32,K32="KhanhKT",V32,K32="PhuongLHK",W32)</f>
        <v>consider</v>
      </c>
      <c r="P32" s="70" cm="1">
        <f t="array" ref="P32">_xlfn.IFS(N32="Pass",1,N32="Not Pass",-1,N32="Consider",0)+_xlfn.IFS(O32="Pass",1,O32="Not Pass",-1,O32="Consider",0)</f>
        <v>1</v>
      </c>
      <c r="Q32" s="116" t="str">
        <f t="shared" si="1"/>
        <v/>
      </c>
      <c r="R32" s="70" cm="1">
        <f t="array" ref="R32">P32+_xlfn.IFS(Q32="Pass",1,Q32="Not Pass",-1,TRUE,0)</f>
        <v>1</v>
      </c>
      <c r="S32" s="116" t="str" cm="1">
        <f t="array" ref="S32">_xlfn.IFS(R32&gt;0,"Pass",R32=0,"Consider",R32&lt;0,"Not Pass")</f>
        <v>Pass</v>
      </c>
      <c r="T32" s="69" t="str">
        <f t="shared" si="2"/>
        <v>Pass</v>
      </c>
      <c r="U32" s="69" t="str">
        <f t="shared" si="3"/>
        <v>consider</v>
      </c>
      <c r="V32" s="69">
        <f t="shared" si="4"/>
        <v>0</v>
      </c>
      <c r="W32" s="69">
        <f t="shared" si="5"/>
        <v>0</v>
      </c>
      <c r="X32" s="69" t="str">
        <f t="shared" si="6"/>
        <v>Nên mô tả rõ thêm về các main-flow</v>
      </c>
      <c r="Y32" s="69" t="str">
        <f t="shared" si="7"/>
        <v>Đề tài hơi khó để SV thực hiện thành công</v>
      </c>
      <c r="Z32" s="69">
        <f t="shared" si="8"/>
        <v>0</v>
      </c>
      <c r="AA32" s="69">
        <f t="shared" si="9"/>
        <v>0</v>
      </c>
      <c r="AB32" s="69" t="str">
        <f t="shared" si="10"/>
        <v>Nên mô tả rõ thêm về các main-flowĐề tài hơi khó để SV thực hiện thành công00</v>
      </c>
    </row>
    <row r="33" spans="1:28" s="69" customFormat="1" ht="31.5" customHeight="1">
      <c r="A33" s="111">
        <v>33</v>
      </c>
      <c r="B33" s="112" t="s">
        <v>261</v>
      </c>
      <c r="C33" s="122"/>
      <c r="D33" s="122"/>
      <c r="E33" s="112" t="s">
        <v>51</v>
      </c>
      <c r="F33" s="112"/>
      <c r="G33" s="112"/>
      <c r="H33" s="114"/>
      <c r="I33" s="115">
        <v>1</v>
      </c>
      <c r="J33" s="103" t="s">
        <v>221</v>
      </c>
      <c r="K33" s="71" t="s">
        <v>19</v>
      </c>
      <c r="L33" s="70"/>
      <c r="M33" s="70" t="b">
        <f t="shared" si="0"/>
        <v>0</v>
      </c>
      <c r="N33" s="116" t="str" cm="1">
        <f t="array" ref="N33">_xlfn.IFS(J33="TaiNT51",T33,J33="HuongNTC2",U33,J33="KhanhKT",V33,J33="PhuongLHK",W33)</f>
        <v>Pass</v>
      </c>
      <c r="O33" s="116" t="str" cm="1">
        <f t="array" ref="O33">_xlfn.IFS(K33="TaiNT51",T33,K33="HuongNTC2",U33,K33="KhanhKT",V33,K33="PhuongLHK",W33)</f>
        <v>Pass</v>
      </c>
      <c r="P33" s="70" cm="1">
        <f t="array" ref="P33">_xlfn.IFS(N33="Pass",1,N33="Not Pass",-1,N33="Consider",0)+_xlfn.IFS(O33="Pass",1,O33="Not Pass",-1,O33="Consider",0)</f>
        <v>2</v>
      </c>
      <c r="Q33" s="116" t="str">
        <f t="shared" si="1"/>
        <v/>
      </c>
      <c r="R33" s="70" cm="1">
        <f t="array" ref="R33">P33+_xlfn.IFS(Q33="Pass",1,Q33="Not Pass",-1,TRUE,0)</f>
        <v>2</v>
      </c>
      <c r="S33" s="116" t="str" cm="1">
        <f t="array" ref="S33">_xlfn.IFS(R33&gt;0,"Pass",R33=0,"Consider",R33&lt;0,"Not Pass")</f>
        <v>Pass</v>
      </c>
      <c r="T33" s="69" t="str">
        <f t="shared" si="2"/>
        <v>Pass</v>
      </c>
      <c r="U33" s="69">
        <f t="shared" si="3"/>
        <v>0</v>
      </c>
      <c r="V33" s="69">
        <f t="shared" si="4"/>
        <v>0</v>
      </c>
      <c r="W33" s="69" t="str">
        <f t="shared" si="5"/>
        <v>Pass</v>
      </c>
      <c r="X33" s="69" t="str">
        <f t="shared" si="6"/>
        <v>Nên mô tả rõ thêm về các main-flow</v>
      </c>
      <c r="Y33" s="69">
        <f t="shared" si="7"/>
        <v>0</v>
      </c>
      <c r="Z33" s="69">
        <f t="shared" si="8"/>
        <v>0</v>
      </c>
      <c r="AA33" s="69">
        <f t="shared" si="9"/>
        <v>0</v>
      </c>
      <c r="AB33" s="69" t="str">
        <f t="shared" si="10"/>
        <v>Nên mô tả rõ thêm về các main-flow000</v>
      </c>
    </row>
    <row r="34" spans="1:28" s="69" customFormat="1" ht="31.5" customHeight="1">
      <c r="A34" s="111">
        <v>34</v>
      </c>
      <c r="B34" s="112" t="s">
        <v>262</v>
      </c>
      <c r="C34" s="112"/>
      <c r="D34" s="112"/>
      <c r="E34" s="112" t="s">
        <v>51</v>
      </c>
      <c r="F34" s="112"/>
      <c r="G34" s="112"/>
      <c r="H34" s="114"/>
      <c r="I34" s="115">
        <v>1</v>
      </c>
      <c r="J34" s="103" t="s">
        <v>16</v>
      </c>
      <c r="K34" s="71" t="s">
        <v>19</v>
      </c>
      <c r="L34" s="70"/>
      <c r="M34" s="70" t="b">
        <f t="shared" si="0"/>
        <v>0</v>
      </c>
      <c r="N34" s="116" t="str" cm="1">
        <f t="array" ref="N34">_xlfn.IFS(J34="TaiNT51",T34,J34="HuongNTC2",U34,J34="KhanhKT",V34,J34="PhuongLHK",W34)</f>
        <v>Consider</v>
      </c>
      <c r="O34" s="116" t="str" cm="1">
        <f t="array" ref="O34">_xlfn.IFS(K34="TaiNT51",T34,K34="HuongNTC2",U34,K34="KhanhKT",V34,K34="PhuongLHK",W34)</f>
        <v>Pass</v>
      </c>
      <c r="P34" s="70" cm="1">
        <f t="array" ref="P34">_xlfn.IFS(N34="Pass",1,N34="Not Pass",-1,N34="Consider",0)+_xlfn.IFS(O34="Pass",1,O34="Not Pass",-1,O34="Consider",0)</f>
        <v>1</v>
      </c>
      <c r="Q34" s="116" t="str">
        <f t="shared" si="1"/>
        <v/>
      </c>
      <c r="R34" s="70" cm="1">
        <f t="array" ref="R34">P34+_xlfn.IFS(Q34="Pass",1,Q34="Not Pass",-1,TRUE,0)</f>
        <v>1</v>
      </c>
      <c r="S34" s="116" t="str" cm="1">
        <f t="array" ref="S34">_xlfn.IFS(R34&gt;0,"Pass",R34=0,"Consider",R34&lt;0,"Not Pass")</f>
        <v>Pass</v>
      </c>
      <c r="T34" s="69">
        <f t="shared" si="2"/>
        <v>0</v>
      </c>
      <c r="U34" s="69">
        <f t="shared" si="3"/>
        <v>0</v>
      </c>
      <c r="V34" s="69" t="str">
        <f t="shared" si="4"/>
        <v>Consider</v>
      </c>
      <c r="W34" s="69" t="str">
        <f t="shared" si="5"/>
        <v>Pass</v>
      </c>
      <c r="X34" s="69">
        <f t="shared" si="6"/>
        <v>0</v>
      </c>
      <c r="Y34" s="69">
        <f t="shared" si="7"/>
        <v>0</v>
      </c>
      <c r="Z34" s="69" t="str">
        <f t="shared" si="8"/>
        <v>- Cần mô tả đầy đủ quy trình để làm rõ việc mua bán sản phẩm thủ công và sản vật địa phương khác gì so sản phẩm thông thường về quy trình lẫn đặc tính, không khéo chỉ là phần mềm bán sản phẩm thông thường --&gt; nếu thế thì nên loại</v>
      </c>
      <c r="AA34" s="69">
        <f t="shared" si="9"/>
        <v>0</v>
      </c>
      <c r="AB34" s="69" t="str">
        <f t="shared" si="10"/>
        <v>00- Cần mô tả đầy đủ quy trình để làm rõ việc mua bán sản phẩm thủ công và sản vật địa phương khác gì so sản phẩm thông thường về quy trình lẫn đặc tính, không khéo chỉ là phần mềm bán sản phẩm thông thường --&gt; nếu thế thì nên loại0</v>
      </c>
    </row>
    <row r="35" spans="1:28" s="69" customFormat="1" ht="17" customHeight="1">
      <c r="A35" s="111">
        <v>35</v>
      </c>
      <c r="B35" s="112" t="s">
        <v>263</v>
      </c>
      <c r="C35" s="112"/>
      <c r="D35" s="112"/>
      <c r="E35" s="112" t="s">
        <v>51</v>
      </c>
      <c r="F35" s="112"/>
      <c r="G35" s="112"/>
      <c r="H35" s="112" t="s">
        <v>224</v>
      </c>
      <c r="I35" s="115">
        <v>1</v>
      </c>
      <c r="J35" s="103" t="s">
        <v>16</v>
      </c>
      <c r="K35" s="71" t="s">
        <v>19</v>
      </c>
      <c r="L35" s="70"/>
      <c r="M35" s="70" t="b">
        <f t="shared" ref="M35:M66" si="11">OR(J35=G35,J35=H35,K35=G35,K35=H35)</f>
        <v>0</v>
      </c>
      <c r="N35" s="116" t="str" cm="1">
        <f t="array" ref="N35">_xlfn.IFS(J35="TaiNT51",T35,J35="HuongNTC2",U35,J35="KhanhKT",V35,J35="PhuongLHK",W35)</f>
        <v>Not Pass</v>
      </c>
      <c r="O35" s="116" t="str" cm="1">
        <f t="array" ref="O35">_xlfn.IFS(K35="TaiNT51",T35,K35="HuongNTC2",U35,K35="KhanhKT",V35,K35="PhuongLHK",W35)</f>
        <v>Not Pass</v>
      </c>
      <c r="P35" s="70" cm="1">
        <f t="array" ref="P35">_xlfn.IFS(N35="Pass",1,N35="Not Pass",-1,N35="Consider",0)+_xlfn.IFS(O35="Pass",1,O35="Not Pass",-1,O35="Consider",0)</f>
        <v>-2</v>
      </c>
      <c r="Q35" s="116" t="str">
        <f t="shared" ref="Q35:Q66" si="12">IF(ISBLANK(L35),"",HLOOKUP(L35,result_table_full,ROW()-1))</f>
        <v/>
      </c>
      <c r="R35" s="70" cm="1">
        <f t="array" ref="R35">P35+_xlfn.IFS(Q35="Pass",1,Q35="Not Pass",-1,TRUE,0)</f>
        <v>-2</v>
      </c>
      <c r="S35" s="116" t="str" cm="1">
        <f t="array" ref="S35">_xlfn.IFS(R35&gt;0,"Pass",R35=0,"Consider",R35&lt;0,"Not Pass")</f>
        <v>Not Pass</v>
      </c>
      <c r="T35" s="69">
        <f t="shared" ref="T35:T66" si="13">HLOOKUP(B35,reviewer1_result,12)</f>
        <v>0</v>
      </c>
      <c r="U35" s="69">
        <f t="shared" ref="U35:U66" si="14">HLOOKUP(B35,reviewer2_result,12)</f>
        <v>0</v>
      </c>
      <c r="V35" s="69" t="str">
        <f t="shared" ref="V35:V66" si="15">HLOOKUP(B35,reviewer3_result,12)</f>
        <v>Not Pass</v>
      </c>
      <c r="W35" s="69" t="str">
        <f t="shared" ref="W35:W66" si="16">HLOOKUP(B35,reviewer4_result,12)</f>
        <v>Not Pass</v>
      </c>
      <c r="X35" s="69">
        <f t="shared" ref="X35:X66" si="17">HLOOKUP(B35,reviewer1_result,13)</f>
        <v>0</v>
      </c>
      <c r="Y35" s="69">
        <f t="shared" ref="Y35:Y66" si="18">HLOOKUP($B35,reviewer2_result,13)</f>
        <v>0</v>
      </c>
      <c r="Z35" s="69" t="str">
        <f t="shared" ref="Z35:Z66" si="19">HLOOKUP($B35,reviewer3_result,13)</f>
        <v xml:space="preserve"> - Đề tài mô tả không rõ ràng, không quy trình, số lượng ngươi dùng quá ít và không thể hiện vai trò của người dùng và sự cần thiết ứng dụng. AI chỉ mô tả cho có, không biết cơ chế, cách áp dụng, cách vận hay và làm gì trong ứng dụng</v>
      </c>
      <c r="AA35" s="69">
        <f t="shared" ref="AA35:AA66" si="20">HLOOKUP($B35,reviewer4_result,13)</f>
        <v>0</v>
      </c>
      <c r="AB35" s="69" t="str">
        <f t="shared" ref="AB35:AB66" si="21">X35&amp;Y35&amp;Z35&amp;AA35</f>
        <v>00 - Đề tài mô tả không rõ ràng, không quy trình, số lượng ngươi dùng quá ít và không thể hiện vai trò của người dùng và sự cần thiết ứng dụng. AI chỉ mô tả cho có, không biết cơ chế, cách áp dụng, cách vận hay và làm gì trong ứng dụng0</v>
      </c>
    </row>
    <row r="36" spans="1:28" s="69" customFormat="1" ht="15.5">
      <c r="A36" s="111">
        <v>36</v>
      </c>
      <c r="B36" s="112" t="s">
        <v>264</v>
      </c>
      <c r="C36" s="112"/>
      <c r="D36" s="112"/>
      <c r="E36" s="112" t="s">
        <v>51</v>
      </c>
      <c r="F36" s="112"/>
      <c r="G36" s="112"/>
      <c r="H36" s="112" t="s">
        <v>224</v>
      </c>
      <c r="I36" s="115">
        <v>1</v>
      </c>
      <c r="J36" s="103" t="s">
        <v>16</v>
      </c>
      <c r="K36" s="71" t="s">
        <v>19</v>
      </c>
      <c r="L36" s="70"/>
      <c r="M36" s="70" t="b">
        <f t="shared" si="11"/>
        <v>0</v>
      </c>
      <c r="N36" s="116" t="str" cm="1">
        <f t="array" ref="N36">_xlfn.IFS(J36="TaiNT51",T36,J36="HuongNTC2",U36,J36="KhanhKT",V36,J36="PhuongLHK",W36)</f>
        <v>Not Pass</v>
      </c>
      <c r="O36" s="116" t="str" cm="1">
        <f t="array" ref="O36">_xlfn.IFS(K36="TaiNT51",T36,K36="HuongNTC2",U36,K36="KhanhKT",V36,K36="PhuongLHK",W36)</f>
        <v>Not Pass</v>
      </c>
      <c r="P36" s="70" cm="1">
        <f t="array" ref="P36">_xlfn.IFS(N36="Pass",1,N36="Not Pass",-1,N36="Consider",0)+_xlfn.IFS(O36="Pass",1,O36="Not Pass",-1,O36="Consider",0)</f>
        <v>-2</v>
      </c>
      <c r="Q36" s="116" t="str">
        <f t="shared" si="12"/>
        <v/>
      </c>
      <c r="R36" s="70" cm="1">
        <f t="array" ref="R36">P36+_xlfn.IFS(Q36="Pass",1,Q36="Not Pass",-1,TRUE,0)</f>
        <v>-2</v>
      </c>
      <c r="S36" s="116" t="str" cm="1">
        <f t="array" ref="S36">_xlfn.IFS(R36&gt;0,"Pass",R36=0,"Consider",R36&lt;0,"Not Pass")</f>
        <v>Not Pass</v>
      </c>
      <c r="T36" s="69">
        <f t="shared" si="13"/>
        <v>0</v>
      </c>
      <c r="U36" s="69">
        <f t="shared" si="14"/>
        <v>0</v>
      </c>
      <c r="V36" s="69" t="str">
        <f t="shared" si="15"/>
        <v>Not Pass</v>
      </c>
      <c r="W36" s="69" t="str">
        <f t="shared" si="16"/>
        <v>Not Pass</v>
      </c>
      <c r="X36" s="69">
        <f t="shared" si="17"/>
        <v>0</v>
      </c>
      <c r="Y36" s="69">
        <f t="shared" si="18"/>
        <v>0</v>
      </c>
      <c r="Z36" s="69" t="str">
        <f t="shared" si="19"/>
        <v>-Đề tài dạng này đã từng làm và bảo vệ, với việc ko mô tả quy trình dẫn đến không khác biệt mấy</v>
      </c>
      <c r="AA36" s="69">
        <f t="shared" si="20"/>
        <v>0</v>
      </c>
      <c r="AB36" s="69" t="str">
        <f t="shared" si="21"/>
        <v>00-Đề tài dạng này đã từng làm và bảo vệ, với việc ko mô tả quy trình dẫn đến không khác biệt mấy0</v>
      </c>
    </row>
    <row r="37" spans="1:28" s="69" customFormat="1" ht="15.5">
      <c r="A37" s="111">
        <v>37</v>
      </c>
      <c r="B37" s="112" t="s">
        <v>265</v>
      </c>
      <c r="C37" s="112"/>
      <c r="D37" s="112"/>
      <c r="E37" s="112" t="s">
        <v>51</v>
      </c>
      <c r="F37" s="112"/>
      <c r="G37" s="112"/>
      <c r="H37" s="114"/>
      <c r="I37" s="115">
        <v>1</v>
      </c>
      <c r="J37" s="103" t="s">
        <v>16</v>
      </c>
      <c r="K37" s="71" t="s">
        <v>19</v>
      </c>
      <c r="L37" s="70"/>
      <c r="M37" s="70" t="b">
        <f t="shared" si="11"/>
        <v>0</v>
      </c>
      <c r="N37" s="116" t="str" cm="1">
        <f t="array" ref="N37">_xlfn.IFS(J37="TaiNT51",T37,J37="HuongNTC2",U37,J37="KhanhKT",V37,J37="PhuongLHK",W37)</f>
        <v>Not Pass</v>
      </c>
      <c r="O37" s="116" t="str" cm="1">
        <f t="array" ref="O37">_xlfn.IFS(K37="TaiNT51",T37,K37="HuongNTC2",U37,K37="KhanhKT",V37,K37="PhuongLHK",W37)</f>
        <v>Not Pass</v>
      </c>
      <c r="P37" s="70" cm="1">
        <f t="array" ref="P37">_xlfn.IFS(N37="Pass",1,N37="Not Pass",-1,N37="Consider",0)+_xlfn.IFS(O37="Pass",1,O37="Not Pass",-1,O37="Consider",0)</f>
        <v>-2</v>
      </c>
      <c r="Q37" s="116" t="str">
        <f t="shared" si="12"/>
        <v/>
      </c>
      <c r="R37" s="70" cm="1">
        <f t="array" ref="R37">P37+_xlfn.IFS(Q37="Pass",1,Q37="Not Pass",-1,TRUE,0)</f>
        <v>-2</v>
      </c>
      <c r="S37" s="116" t="str" cm="1">
        <f t="array" ref="S37">_xlfn.IFS(R37&gt;0,"Pass",R37=0,"Consider",R37&lt;0,"Not Pass")</f>
        <v>Not Pass</v>
      </c>
      <c r="T37" s="69">
        <f t="shared" si="13"/>
        <v>0</v>
      </c>
      <c r="U37" s="69">
        <f t="shared" si="14"/>
        <v>0</v>
      </c>
      <c r="V37" s="69" t="str">
        <f t="shared" si="15"/>
        <v>Not Pass</v>
      </c>
      <c r="W37" s="69" t="str">
        <f t="shared" si="16"/>
        <v>Not Pass</v>
      </c>
      <c r="X37" s="69">
        <f t="shared" si="17"/>
        <v>0</v>
      </c>
      <c r="Y37" s="69">
        <f t="shared" si="18"/>
        <v>0</v>
      </c>
      <c r="Z37" s="69" t="str">
        <f t="shared" si="19"/>
        <v>- Đề tài có phạm vi quá lớn, 3 ứng dụng khác nhau, việc tích hợp các kỹ thuật được đề xuất như thế nào , cần giới hạn scope lại</v>
      </c>
      <c r="AA37" s="69">
        <f t="shared" si="20"/>
        <v>0</v>
      </c>
      <c r="AB37" s="69" t="str">
        <f t="shared" si="21"/>
        <v>00- Đề tài có phạm vi quá lớn, 3 ứng dụng khác nhau, việc tích hợp các kỹ thuật được đề xuất như thế nào , cần giới hạn scope lại0</v>
      </c>
    </row>
    <row r="38" spans="1:28" s="69" customFormat="1" ht="15.5">
      <c r="A38" s="111">
        <v>38</v>
      </c>
      <c r="B38" s="112" t="s">
        <v>266</v>
      </c>
      <c r="C38" s="112"/>
      <c r="D38" s="112"/>
      <c r="E38" s="112" t="s">
        <v>51</v>
      </c>
      <c r="F38" s="112"/>
      <c r="G38" s="112"/>
      <c r="H38" s="114"/>
      <c r="I38" s="115">
        <v>1</v>
      </c>
      <c r="J38" s="103" t="s">
        <v>16</v>
      </c>
      <c r="K38" s="71" t="s">
        <v>19</v>
      </c>
      <c r="L38" s="70"/>
      <c r="M38" s="70" t="b">
        <f t="shared" si="11"/>
        <v>0</v>
      </c>
      <c r="N38" s="116" t="str" cm="1">
        <f t="array" ref="N38">_xlfn.IFS(J38="TaiNT51",T38,J38="HuongNTC2",U38,J38="KhanhKT",V38,J38="PhuongLHK",W38)</f>
        <v>Not Pass</v>
      </c>
      <c r="O38" s="116" t="str" cm="1">
        <f t="array" ref="O38">_xlfn.IFS(K38="TaiNT51",T38,K38="HuongNTC2",U38,K38="KhanhKT",V38,K38="PhuongLHK",W38)</f>
        <v>Not Pass</v>
      </c>
      <c r="P38" s="70" cm="1">
        <f t="array" ref="P38">_xlfn.IFS(N38="Pass",1,N38="Not Pass",-1,N38="Consider",0)+_xlfn.IFS(O38="Pass",1,O38="Not Pass",-1,O38="Consider",0)</f>
        <v>-2</v>
      </c>
      <c r="Q38" s="116" t="str">
        <f t="shared" si="12"/>
        <v/>
      </c>
      <c r="R38" s="70" cm="1">
        <f t="array" ref="R38">P38+_xlfn.IFS(Q38="Pass",1,Q38="Not Pass",-1,TRUE,0)</f>
        <v>-2</v>
      </c>
      <c r="S38" s="116" t="str" cm="1">
        <f t="array" ref="S38">_xlfn.IFS(R38&gt;0,"Pass",R38=0,"Consider",R38&lt;0,"Not Pass")</f>
        <v>Not Pass</v>
      </c>
      <c r="T38" s="69">
        <f t="shared" si="13"/>
        <v>0</v>
      </c>
      <c r="U38" s="69">
        <f t="shared" si="14"/>
        <v>0</v>
      </c>
      <c r="V38" s="69" t="str">
        <f t="shared" si="15"/>
        <v>Not Pass</v>
      </c>
      <c r="W38" s="69" t="str">
        <f t="shared" si="16"/>
        <v>Not Pass</v>
      </c>
      <c r="X38" s="69">
        <f t="shared" si="17"/>
        <v>0</v>
      </c>
      <c r="Y38" s="69">
        <f t="shared" si="18"/>
        <v>0</v>
      </c>
      <c r="Z38" s="69" t="str">
        <f t="shared" si="19"/>
        <v>- Đề tài quản lý sự kiện và đặt vé đã làm khá nhiều --&gt; không nên dùng lại như thế này</v>
      </c>
      <c r="AA38" s="69">
        <f t="shared" si="20"/>
        <v>0</v>
      </c>
      <c r="AB38" s="69" t="str">
        <f t="shared" si="21"/>
        <v>00- Đề tài quản lý sự kiện và đặt vé đã làm khá nhiều --&gt; không nên dùng lại như thế này0</v>
      </c>
    </row>
    <row r="39" spans="1:28" s="69" customFormat="1" ht="15.5">
      <c r="A39" s="111">
        <v>39</v>
      </c>
      <c r="B39" s="112" t="s">
        <v>267</v>
      </c>
      <c r="C39" s="112"/>
      <c r="D39" s="112"/>
      <c r="E39" s="112" t="s">
        <v>51</v>
      </c>
      <c r="F39" s="112"/>
      <c r="G39" s="112"/>
      <c r="H39" s="114"/>
      <c r="I39" s="115">
        <v>1</v>
      </c>
      <c r="J39" s="103" t="s">
        <v>16</v>
      </c>
      <c r="K39" s="71" t="s">
        <v>19</v>
      </c>
      <c r="L39" s="70"/>
      <c r="M39" s="70" t="b">
        <f t="shared" si="11"/>
        <v>0</v>
      </c>
      <c r="N39" s="116" t="str" cm="1">
        <f t="array" ref="N39">_xlfn.IFS(J39="TaiNT51",T39,J39="HuongNTC2",U39,J39="KhanhKT",V39,J39="PhuongLHK",W39)</f>
        <v>Consider</v>
      </c>
      <c r="O39" s="116" t="str" cm="1">
        <f t="array" ref="O39">_xlfn.IFS(K39="TaiNT51",T39,K39="HuongNTC2",U39,K39="KhanhKT",V39,K39="PhuongLHK",W39)</f>
        <v>Pass</v>
      </c>
      <c r="P39" s="70" cm="1">
        <f t="array" ref="P39">_xlfn.IFS(N39="Pass",1,N39="Not Pass",-1,N39="Consider",0)+_xlfn.IFS(O39="Pass",1,O39="Not Pass",-1,O39="Consider",0)</f>
        <v>1</v>
      </c>
      <c r="Q39" s="116" t="str">
        <f t="shared" si="12"/>
        <v/>
      </c>
      <c r="R39" s="70" cm="1">
        <f t="array" ref="R39">P39+_xlfn.IFS(Q39="Pass",1,Q39="Not Pass",-1,TRUE,0)</f>
        <v>1</v>
      </c>
      <c r="S39" s="116" t="str" cm="1">
        <f t="array" ref="S39">_xlfn.IFS(R39&gt;0,"Pass",R39=0,"Consider",R39&lt;0,"Not Pass")</f>
        <v>Pass</v>
      </c>
      <c r="T39" s="69">
        <f t="shared" si="13"/>
        <v>0</v>
      </c>
      <c r="U39" s="69">
        <f t="shared" si="14"/>
        <v>0</v>
      </c>
      <c r="V39" s="69" t="str">
        <f t="shared" si="15"/>
        <v>Consider</v>
      </c>
      <c r="W39" s="69" t="str">
        <f t="shared" si="16"/>
        <v>Pass</v>
      </c>
      <c r="X39" s="69">
        <f t="shared" si="17"/>
        <v>0</v>
      </c>
      <c r="Y39" s="69">
        <f t="shared" si="18"/>
        <v>0</v>
      </c>
      <c r="Z39" s="69" t="str">
        <f t="shared" si="19"/>
        <v>- Cần mô tả rõ quy trình với workflow để làm rõ nội dung cho sinh viên khi thực hiện và bảo vệ</v>
      </c>
      <c r="AA39" s="69">
        <f t="shared" si="20"/>
        <v>0</v>
      </c>
      <c r="AB39" s="69" t="str">
        <f t="shared" si="21"/>
        <v>00- Cần mô tả rõ quy trình với workflow để làm rõ nội dung cho sinh viên khi thực hiện và bảo vệ0</v>
      </c>
    </row>
    <row r="40" spans="1:28" s="69" customFormat="1" ht="15.5">
      <c r="A40" s="111">
        <v>40</v>
      </c>
      <c r="B40" s="112" t="s">
        <v>268</v>
      </c>
      <c r="C40" s="112"/>
      <c r="D40" s="112"/>
      <c r="E40" s="112" t="s">
        <v>51</v>
      </c>
      <c r="F40" s="112"/>
      <c r="G40" s="112"/>
      <c r="H40" s="114"/>
      <c r="I40" s="115">
        <v>1</v>
      </c>
      <c r="J40" s="103" t="s">
        <v>16</v>
      </c>
      <c r="K40" s="71" t="s">
        <v>19</v>
      </c>
      <c r="L40" s="70"/>
      <c r="M40" s="70" t="b">
        <f t="shared" si="11"/>
        <v>0</v>
      </c>
      <c r="N40" s="116" t="str" cm="1">
        <f t="array" ref="N40">_xlfn.IFS(J40="TaiNT51",T40,J40="HuongNTC2",U40,J40="KhanhKT",V40,J40="PhuongLHK",W40)</f>
        <v>Not Pass</v>
      </c>
      <c r="O40" s="116" t="str" cm="1">
        <f t="array" ref="O40">_xlfn.IFS(K40="TaiNT51",T40,K40="HuongNTC2",U40,K40="KhanhKT",V40,K40="PhuongLHK",W40)</f>
        <v>Not Pass</v>
      </c>
      <c r="P40" s="70" cm="1">
        <f t="array" ref="P40">_xlfn.IFS(N40="Pass",1,N40="Not Pass",-1,N40="Consider",0)+_xlfn.IFS(O40="Pass",1,O40="Not Pass",-1,O40="Consider",0)</f>
        <v>-2</v>
      </c>
      <c r="Q40" s="116" t="str">
        <f t="shared" si="12"/>
        <v/>
      </c>
      <c r="R40" s="70" cm="1">
        <f t="array" ref="R40">P40+_xlfn.IFS(Q40="Pass",1,Q40="Not Pass",-1,TRUE,0)</f>
        <v>-2</v>
      </c>
      <c r="S40" s="116" t="str" cm="1">
        <f t="array" ref="S40">_xlfn.IFS(R40&gt;0,"Pass",R40=0,"Consider",R40&lt;0,"Not Pass")</f>
        <v>Not Pass</v>
      </c>
      <c r="T40" s="69">
        <f t="shared" si="13"/>
        <v>0</v>
      </c>
      <c r="U40" s="69">
        <f t="shared" si="14"/>
        <v>0</v>
      </c>
      <c r="V40" s="69" t="str">
        <f t="shared" si="15"/>
        <v>Not Pass</v>
      </c>
      <c r="W40" s="69" t="str">
        <f t="shared" si="16"/>
        <v>Not Pass</v>
      </c>
      <c r="X40" s="69">
        <f t="shared" si="17"/>
        <v>0</v>
      </c>
      <c r="Y40" s="69">
        <f t="shared" si="18"/>
        <v>0</v>
      </c>
      <c r="Z40" s="69" t="str">
        <f t="shared" si="19"/>
        <v>- Đề tài mô tả quá sơ sài, đặc biệt khi đặc lịch là tuân theo qui chuẩn, quy trình của một phòng khám và các yêu cầu nghiệp vụ không phải đơn giản và thô sơ như thế này</v>
      </c>
      <c r="AA40" s="69">
        <f t="shared" si="20"/>
        <v>0</v>
      </c>
      <c r="AB40" s="69" t="str">
        <f t="shared" si="21"/>
        <v>00- Đề tài mô tả quá sơ sài, đặc biệt khi đặc lịch là tuân theo qui chuẩn, quy trình của một phòng khám và các yêu cầu nghiệp vụ không phải đơn giản và thô sơ như thế này0</v>
      </c>
    </row>
    <row r="41" spans="1:28" s="69" customFormat="1" ht="15.5">
      <c r="A41" s="111">
        <v>41</v>
      </c>
      <c r="B41" s="112" t="s">
        <v>269</v>
      </c>
      <c r="C41" s="112"/>
      <c r="D41" s="112"/>
      <c r="E41" s="112" t="s">
        <v>51</v>
      </c>
      <c r="F41" s="112"/>
      <c r="G41" s="112"/>
      <c r="H41" s="114"/>
      <c r="I41" s="115">
        <v>1</v>
      </c>
      <c r="J41" s="103" t="s">
        <v>16</v>
      </c>
      <c r="K41" s="71" t="s">
        <v>19</v>
      </c>
      <c r="L41" s="70"/>
      <c r="M41" s="70" t="b">
        <f t="shared" si="11"/>
        <v>0</v>
      </c>
      <c r="N41" s="116" t="str" cm="1">
        <f t="array" ref="N41">_xlfn.IFS(J41="TaiNT51",T41,J41="HuongNTC2",U41,J41="KhanhKT",V41,J41="PhuongLHK",W41)</f>
        <v>Consider</v>
      </c>
      <c r="O41" s="116" t="str" cm="1">
        <f t="array" ref="O41">_xlfn.IFS(K41="TaiNT51",T41,K41="HuongNTC2",U41,K41="KhanhKT",V41,K41="PhuongLHK",W41)</f>
        <v>Pass</v>
      </c>
      <c r="P41" s="70" cm="1">
        <f t="array" ref="P41">_xlfn.IFS(N41="Pass",1,N41="Not Pass",-1,N41="Consider",0)+_xlfn.IFS(O41="Pass",1,O41="Not Pass",-1,O41="Consider",0)</f>
        <v>1</v>
      </c>
      <c r="Q41" s="116" t="str">
        <f t="shared" si="12"/>
        <v/>
      </c>
      <c r="R41" s="70" cm="1">
        <f t="array" ref="R41">P41+_xlfn.IFS(Q41="Pass",1,Q41="Not Pass",-1,TRUE,0)</f>
        <v>1</v>
      </c>
      <c r="S41" s="116" t="str" cm="1">
        <f t="array" ref="S41">_xlfn.IFS(R41&gt;0,"Pass",R41=0,"Consider",R41&lt;0,"Not Pass")</f>
        <v>Pass</v>
      </c>
      <c r="T41" s="69">
        <f t="shared" si="13"/>
        <v>0</v>
      </c>
      <c r="U41" s="69">
        <f t="shared" si="14"/>
        <v>0</v>
      </c>
      <c r="V41" s="69" t="str">
        <f t="shared" si="15"/>
        <v>Consider</v>
      </c>
      <c r="W41" s="69" t="str">
        <f t="shared" si="16"/>
        <v>Pass</v>
      </c>
      <c r="X41" s="69">
        <f t="shared" si="17"/>
        <v>0</v>
      </c>
      <c r="Y41" s="69">
        <f t="shared" si="18"/>
        <v>0</v>
      </c>
      <c r="Z41" s="69" t="str">
        <f t="shared" si="19"/>
        <v>- Cần mô tả rõ việc ở ghép có áp dụng AI và qui trình cụ thể vì đề tài này khá nhiều, không khéo chỉ là tuyên tính</v>
      </c>
      <c r="AA41" s="69">
        <f t="shared" si="20"/>
        <v>0</v>
      </c>
      <c r="AB41" s="69" t="str">
        <f t="shared" si="21"/>
        <v>00- Cần mô tả rõ việc ở ghép có áp dụng AI và qui trình cụ thể vì đề tài này khá nhiều, không khéo chỉ là tuyên tính0</v>
      </c>
    </row>
    <row r="42" spans="1:28" s="69" customFormat="1" ht="31.5" customHeight="1">
      <c r="A42" s="111">
        <v>42</v>
      </c>
      <c r="B42" s="112" t="s">
        <v>270</v>
      </c>
      <c r="C42" s="112"/>
      <c r="D42" s="112"/>
      <c r="E42" s="112" t="s">
        <v>51</v>
      </c>
      <c r="F42" s="112"/>
      <c r="G42" s="112"/>
      <c r="H42" s="114"/>
      <c r="I42" s="115">
        <v>1</v>
      </c>
      <c r="J42" s="103" t="s">
        <v>16</v>
      </c>
      <c r="K42" s="71" t="s">
        <v>19</v>
      </c>
      <c r="L42" s="70"/>
      <c r="M42" s="70" t="b">
        <f t="shared" si="11"/>
        <v>0</v>
      </c>
      <c r="N42" s="116" t="str" cm="1">
        <f t="array" ref="N42">_xlfn.IFS(J42="TaiNT51",T42,J42="HuongNTC2",U42,J42="KhanhKT",V42,J42="PhuongLHK",W42)</f>
        <v>Not Pass</v>
      </c>
      <c r="O42" s="116" t="str" cm="1">
        <f t="array" ref="O42">_xlfn.IFS(K42="TaiNT51",T42,K42="HuongNTC2",U42,K42="KhanhKT",V42,K42="PhuongLHK",W42)</f>
        <v>Not Pass</v>
      </c>
      <c r="P42" s="70" cm="1">
        <f t="array" ref="P42">_xlfn.IFS(N42="Pass",1,N42="Not Pass",-1,N42="Consider",0)+_xlfn.IFS(O42="Pass",1,O42="Not Pass",-1,O42="Consider",0)</f>
        <v>-2</v>
      </c>
      <c r="Q42" s="116" t="str">
        <f t="shared" si="12"/>
        <v/>
      </c>
      <c r="R42" s="70" cm="1">
        <f t="array" ref="R42">P42+_xlfn.IFS(Q42="Pass",1,Q42="Not Pass",-1,TRUE,0)</f>
        <v>-2</v>
      </c>
      <c r="S42" s="116" t="str" cm="1">
        <f t="array" ref="S42">_xlfn.IFS(R42&gt;0,"Pass",R42=0,"Consider",R42&lt;0,"Not Pass")</f>
        <v>Not Pass</v>
      </c>
      <c r="T42" s="69">
        <f t="shared" si="13"/>
        <v>0</v>
      </c>
      <c r="U42" s="69">
        <f t="shared" si="14"/>
        <v>0</v>
      </c>
      <c r="V42" s="69" t="str">
        <f t="shared" si="15"/>
        <v>Not Pass</v>
      </c>
      <c r="W42" s="69" t="str">
        <f t="shared" si="16"/>
        <v>Not Pass</v>
      </c>
      <c r="X42" s="69">
        <f t="shared" si="17"/>
        <v>0</v>
      </c>
      <c r="Y42" s="69">
        <f t="shared" si="18"/>
        <v>0</v>
      </c>
      <c r="Z42" s="69" t="str">
        <f t="shared" si="19"/>
        <v>- Đề tài mô tả khá sơ sài với tên đề tài kinh khủng như vậy … ---&gt; không thể đánh giá</v>
      </c>
      <c r="AA42" s="69">
        <f t="shared" si="20"/>
        <v>0</v>
      </c>
      <c r="AB42" s="69" t="str">
        <f t="shared" si="21"/>
        <v>00- Đề tài mô tả khá sơ sài với tên đề tài kinh khủng như vậy … ---&gt; không thể đánh giá0</v>
      </c>
    </row>
    <row r="43" spans="1:28" s="69" customFormat="1" ht="31.5" customHeight="1">
      <c r="A43" s="111">
        <v>43</v>
      </c>
      <c r="B43" s="112" t="s">
        <v>271</v>
      </c>
      <c r="C43" s="117"/>
      <c r="D43" s="117"/>
      <c r="E43" s="112" t="s">
        <v>52</v>
      </c>
      <c r="F43" s="112"/>
      <c r="G43" s="112"/>
      <c r="H43" s="112" t="s">
        <v>23</v>
      </c>
      <c r="I43" s="115">
        <v>1</v>
      </c>
      <c r="J43" s="103" t="s">
        <v>225</v>
      </c>
      <c r="K43" s="71" t="s">
        <v>16</v>
      </c>
      <c r="L43" s="70"/>
      <c r="M43" s="70" t="b">
        <f t="shared" si="11"/>
        <v>0</v>
      </c>
      <c r="N43" s="116" t="str" cm="1">
        <f t="array" ref="N43">_xlfn.IFS(J43="TaiNT51",T43,J43="HuongNTC2",U43,J43="KhanhKT",V43,J43="PhuongLHK",W43)</f>
        <v>Pass</v>
      </c>
      <c r="O43" s="116" t="str" cm="1">
        <f t="array" ref="O43">_xlfn.IFS(K43="TaiNT51",T43,K43="HuongNTC2",U43,K43="KhanhKT",V43,K43="PhuongLHK",W43)</f>
        <v>Consider</v>
      </c>
      <c r="P43" s="70" cm="1">
        <f t="array" ref="P43">_xlfn.IFS(N43="Pass",1,N43="Not Pass",-1,N43="Consider",0)+_xlfn.IFS(O43="Pass",1,O43="Not Pass",-1,O43="Consider",0)</f>
        <v>1</v>
      </c>
      <c r="Q43" s="116" t="str">
        <f t="shared" si="12"/>
        <v/>
      </c>
      <c r="R43" s="70" cm="1">
        <f t="array" ref="R43">P43+_xlfn.IFS(Q43="Pass",1,Q43="Not Pass",-1,TRUE,0)</f>
        <v>1</v>
      </c>
      <c r="S43" s="116" t="str" cm="1">
        <f t="array" ref="S43">_xlfn.IFS(R43&gt;0,"Pass",R43=0,"Consider",R43&lt;0,"Not Pass")</f>
        <v>Pass</v>
      </c>
      <c r="T43" s="69">
        <f t="shared" si="13"/>
        <v>0</v>
      </c>
      <c r="U43" s="69" t="str">
        <f t="shared" si="14"/>
        <v>Pass</v>
      </c>
      <c r="V43" s="69" t="str">
        <f t="shared" si="15"/>
        <v>Consider</v>
      </c>
      <c r="W43" s="69">
        <f t="shared" si="16"/>
        <v>0</v>
      </c>
      <c r="X43" s="69">
        <f t="shared" si="17"/>
        <v>0</v>
      </c>
      <c r="Y43" s="69">
        <f t="shared" si="18"/>
        <v>0</v>
      </c>
      <c r="Z43" s="69" t="str">
        <f t="shared" si="19"/>
        <v>- Cần làm rõ quy trình core flow để hỗ trợ sv thực hiện và bảo vệ</v>
      </c>
      <c r="AA43" s="69">
        <f t="shared" si="20"/>
        <v>0</v>
      </c>
      <c r="AB43" s="69" t="str">
        <f t="shared" si="21"/>
        <v>00- Cần làm rõ quy trình core flow để hỗ trợ sv thực hiện và bảo vệ0</v>
      </c>
    </row>
    <row r="44" spans="1:28" s="69" customFormat="1" ht="78" customHeight="1">
      <c r="A44" s="111">
        <v>44</v>
      </c>
      <c r="B44" s="112" t="s">
        <v>272</v>
      </c>
      <c r="C44" s="123"/>
      <c r="D44" s="124"/>
      <c r="E44" s="112" t="s">
        <v>53</v>
      </c>
      <c r="F44" s="112"/>
      <c r="G44" s="112"/>
      <c r="H44" s="114"/>
      <c r="I44" s="115">
        <v>1</v>
      </c>
      <c r="J44" s="103" t="s">
        <v>225</v>
      </c>
      <c r="K44" s="71" t="s">
        <v>19</v>
      </c>
      <c r="L44" s="70"/>
      <c r="M44" s="70" t="b">
        <f t="shared" si="11"/>
        <v>0</v>
      </c>
      <c r="N44" s="116" t="str" cm="1">
        <f t="array" ref="N44">_xlfn.IFS(J44="TaiNT51",T44,J44="HuongNTC2",U44,J44="KhanhKT",V44,J44="PhuongLHK",W44)</f>
        <v>Not Pass</v>
      </c>
      <c r="O44" s="116" t="str" cm="1">
        <f t="array" ref="O44">_xlfn.IFS(K44="TaiNT51",T44,K44="HuongNTC2",U44,K44="KhanhKT",V44,K44="PhuongLHK",W44)</f>
        <v>Not Pass</v>
      </c>
      <c r="P44" s="70" cm="1">
        <f t="array" ref="P44">_xlfn.IFS(N44="Pass",1,N44="Not Pass",-1,N44="Consider",0)+_xlfn.IFS(O44="Pass",1,O44="Not Pass",-1,O44="Consider",0)</f>
        <v>-2</v>
      </c>
      <c r="Q44" s="116" t="str">
        <f t="shared" si="12"/>
        <v/>
      </c>
      <c r="R44" s="70" cm="1">
        <f t="array" ref="R44">P44+_xlfn.IFS(Q44="Pass",1,Q44="Not Pass",-1,TRUE,0)</f>
        <v>-2</v>
      </c>
      <c r="S44" s="116" t="str" cm="1">
        <f t="array" ref="S44">_xlfn.IFS(R44&gt;0,"Pass",R44=0,"Consider",R44&lt;0,"Not Pass")</f>
        <v>Not Pass</v>
      </c>
      <c r="T44" s="69">
        <f t="shared" si="13"/>
        <v>0</v>
      </c>
      <c r="U44" s="69" t="str">
        <f t="shared" si="14"/>
        <v>Not Pass</v>
      </c>
      <c r="V44" s="69">
        <f t="shared" si="15"/>
        <v>0</v>
      </c>
      <c r="W44" s="69" t="str">
        <f t="shared" si="16"/>
        <v>Not Pass</v>
      </c>
      <c r="X44" s="69">
        <f t="shared" si="17"/>
        <v>0</v>
      </c>
      <c r="Y44" s="69" t="str">
        <f t="shared" si="18"/>
        <v>1. Đề tài lớn</v>
      </c>
      <c r="Z44" s="69">
        <f t="shared" si="19"/>
        <v>0</v>
      </c>
      <c r="AA44" s="69">
        <f t="shared" si="20"/>
        <v>0</v>
      </c>
      <c r="AB44" s="69" t="str">
        <f t="shared" si="21"/>
        <v>01. Đề tài lớn00</v>
      </c>
    </row>
    <row r="45" spans="1:28" s="69" customFormat="1" ht="15.5">
      <c r="A45" s="111">
        <v>45</v>
      </c>
      <c r="B45" s="112" t="s">
        <v>273</v>
      </c>
      <c r="C45" s="117"/>
      <c r="D45" s="117"/>
      <c r="E45" s="112" t="s">
        <v>53</v>
      </c>
      <c r="F45" s="112"/>
      <c r="G45" s="112"/>
      <c r="H45" s="114"/>
      <c r="I45" s="115">
        <v>1</v>
      </c>
      <c r="J45" s="103" t="s">
        <v>221</v>
      </c>
      <c r="K45" s="71" t="s">
        <v>16</v>
      </c>
      <c r="L45" s="70"/>
      <c r="M45" s="70" t="b">
        <f t="shared" si="11"/>
        <v>0</v>
      </c>
      <c r="N45" s="116" t="str" cm="1">
        <f t="array" ref="N45">_xlfn.IFS(J45="TaiNT51",T45,J45="HuongNTC2",U45,J45="KhanhKT",V45,J45="PhuongLHK",W45)</f>
        <v>Pass</v>
      </c>
      <c r="O45" s="116" t="str" cm="1">
        <f t="array" ref="O45">_xlfn.IFS(K45="TaiNT51",T45,K45="HuongNTC2",U45,K45="KhanhKT",V45,K45="PhuongLHK",W45)</f>
        <v>Pass</v>
      </c>
      <c r="P45" s="70" cm="1">
        <f t="array" ref="P45">_xlfn.IFS(N45="Pass",1,N45="Not Pass",-1,N45="Consider",0)+_xlfn.IFS(O45="Pass",1,O45="Not Pass",-1,O45="Consider",0)</f>
        <v>2</v>
      </c>
      <c r="Q45" s="116" t="str">
        <f t="shared" si="12"/>
        <v/>
      </c>
      <c r="R45" s="70" cm="1">
        <f t="array" ref="R45">P45+_xlfn.IFS(Q45="Pass",1,Q45="Not Pass",-1,TRUE,0)</f>
        <v>2</v>
      </c>
      <c r="S45" s="116" t="str" cm="1">
        <f t="array" ref="S45">_xlfn.IFS(R45&gt;0,"Pass",R45=0,"Consider",R45&lt;0,"Not Pass")</f>
        <v>Pass</v>
      </c>
      <c r="T45" s="69" t="str">
        <f t="shared" si="13"/>
        <v>Pass</v>
      </c>
      <c r="U45" s="69">
        <f t="shared" si="14"/>
        <v>0</v>
      </c>
      <c r="V45" s="69" t="str">
        <f t="shared" si="15"/>
        <v>Pass</v>
      </c>
      <c r="W45" s="69">
        <f t="shared" si="16"/>
        <v>0</v>
      </c>
      <c r="X45" s="69" t="str">
        <f t="shared" si="17"/>
        <v>Nên mô tả rõ thêm về các main-flow</v>
      </c>
      <c r="Y45" s="69">
        <f t="shared" si="18"/>
        <v>0</v>
      </c>
      <c r="Z45" s="69" t="str">
        <f t="shared" si="19"/>
        <v>- Cần làm rõ quy trình core flow để hỗ trợ sv thực hiện và bảo vệ</v>
      </c>
      <c r="AA45" s="69">
        <f t="shared" si="20"/>
        <v>0</v>
      </c>
      <c r="AB45" s="69" t="str">
        <f t="shared" si="21"/>
        <v>Nên mô tả rõ thêm về các main-flow0- Cần làm rõ quy trình core flow để hỗ trợ sv thực hiện và bảo vệ0</v>
      </c>
    </row>
    <row r="46" spans="1:28" s="69" customFormat="1" ht="36.5" customHeight="1">
      <c r="A46" s="111">
        <v>46</v>
      </c>
      <c r="B46" s="112" t="s">
        <v>274</v>
      </c>
      <c r="C46" s="117"/>
      <c r="D46" s="117"/>
      <c r="E46" s="112" t="s">
        <v>52</v>
      </c>
      <c r="F46" s="112"/>
      <c r="G46" s="112"/>
      <c r="H46" s="112" t="s">
        <v>228</v>
      </c>
      <c r="I46" s="115">
        <v>1</v>
      </c>
      <c r="J46" s="103" t="s">
        <v>225</v>
      </c>
      <c r="K46" s="71" t="s">
        <v>16</v>
      </c>
      <c r="L46" s="70"/>
      <c r="M46" s="70" t="b">
        <f t="shared" si="11"/>
        <v>0</v>
      </c>
      <c r="N46" s="116" t="str" cm="1">
        <f t="array" ref="N46">_xlfn.IFS(J46="TaiNT51",T46,J46="HuongNTC2",U46,J46="KhanhKT",V46,J46="PhuongLHK",W46)</f>
        <v>Consider</v>
      </c>
      <c r="O46" s="116" t="str" cm="1">
        <f t="array" ref="O46">_xlfn.IFS(K46="TaiNT51",T46,K46="HuongNTC2",U46,K46="KhanhKT",V46,K46="PhuongLHK",W46)</f>
        <v>Pass</v>
      </c>
      <c r="P46" s="70" cm="1">
        <f t="array" ref="P46">_xlfn.IFS(N46="Pass",1,N46="Not Pass",-1,N46="Consider",0)+_xlfn.IFS(O46="Pass",1,O46="Not Pass",-1,O46="Consider",0)</f>
        <v>1</v>
      </c>
      <c r="Q46" s="116" t="str">
        <f t="shared" si="12"/>
        <v/>
      </c>
      <c r="R46" s="70" cm="1">
        <f t="array" ref="R46">P46+_xlfn.IFS(Q46="Pass",1,Q46="Not Pass",-1,TRUE,0)</f>
        <v>1</v>
      </c>
      <c r="S46" s="116" t="str" cm="1">
        <f t="array" ref="S46">_xlfn.IFS(R46&gt;0,"Pass",R46=0,"Consider",R46&lt;0,"Not Pass")</f>
        <v>Pass</v>
      </c>
      <c r="T46" s="69">
        <f t="shared" si="13"/>
        <v>0</v>
      </c>
      <c r="U46" s="69" t="str">
        <f t="shared" si="14"/>
        <v>Consider</v>
      </c>
      <c r="V46" s="69" t="str">
        <f t="shared" si="15"/>
        <v>Pass</v>
      </c>
      <c r="W46" s="69">
        <f t="shared" si="16"/>
        <v>0</v>
      </c>
      <c r="X46" s="69">
        <f t="shared" si="17"/>
        <v>0</v>
      </c>
      <c r="Y46" s="69" t="str">
        <f t="shared" si="18"/>
        <v>Cần làm rõ yếu tố đánh giá: Code sinh ra từ AI và code tự viết, làm sao để đánh giá kỹ năng???</v>
      </c>
      <c r="Z46" s="69" t="str">
        <f t="shared" si="19"/>
        <v>- Cần làm rõ quy trình core flow để hỗ trợ sv thực hiện và bảo vệ</v>
      </c>
      <c r="AA46" s="69">
        <f t="shared" si="20"/>
        <v>0</v>
      </c>
      <c r="AB46" s="69" t="str">
        <f t="shared" si="21"/>
        <v>0Cần làm rõ yếu tố đánh giá: Code sinh ra từ AI và code tự viết, làm sao để đánh giá kỹ năng???- Cần làm rõ quy trình core flow để hỗ trợ sv thực hiện và bảo vệ0</v>
      </c>
    </row>
    <row r="47" spans="1:28" s="69" customFormat="1" ht="15.5">
      <c r="A47" s="111">
        <v>47</v>
      </c>
      <c r="B47" s="112" t="s">
        <v>275</v>
      </c>
      <c r="C47" s="117"/>
      <c r="D47" s="117"/>
      <c r="E47" s="112" t="s">
        <v>52</v>
      </c>
      <c r="F47" s="112"/>
      <c r="G47" s="112"/>
      <c r="H47" s="112" t="s">
        <v>228</v>
      </c>
      <c r="I47" s="115">
        <v>1</v>
      </c>
      <c r="J47" s="103" t="s">
        <v>221</v>
      </c>
      <c r="K47" s="71" t="s">
        <v>225</v>
      </c>
      <c r="L47" s="70"/>
      <c r="M47" s="70" t="b">
        <f t="shared" si="11"/>
        <v>0</v>
      </c>
      <c r="N47" s="116" t="str" cm="1">
        <f t="array" ref="N47">_xlfn.IFS(J47="TaiNT51",T47,J47="HuongNTC2",U47,J47="KhanhKT",V47,J47="PhuongLHK",W47)</f>
        <v>Consider</v>
      </c>
      <c r="O47" s="116" t="str" cm="1">
        <f t="array" ref="O47">_xlfn.IFS(K47="TaiNT51",T47,K47="HuongNTC2",U47,K47="KhanhKT",V47,K47="PhuongLHK",W47)</f>
        <v>Pass</v>
      </c>
      <c r="P47" s="70" cm="1">
        <f t="array" ref="P47">_xlfn.IFS(N47="Pass",1,N47="Not Pass",-1,N47="Consider",0)+_xlfn.IFS(O47="Pass",1,O47="Not Pass",-1,O47="Consider",0)</f>
        <v>1</v>
      </c>
      <c r="Q47" s="116" t="str">
        <f t="shared" si="12"/>
        <v/>
      </c>
      <c r="R47" s="70" cm="1">
        <f t="array" ref="R47">P47+_xlfn.IFS(Q47="Pass",1,Q47="Not Pass",-1,TRUE,0)</f>
        <v>1</v>
      </c>
      <c r="S47" s="116" t="str" cm="1">
        <f t="array" ref="S47">_xlfn.IFS(R47&gt;0,"Pass",R47=0,"Consider",R47&lt;0,"Not Pass")</f>
        <v>Pass</v>
      </c>
      <c r="T47" s="69" t="str">
        <f t="shared" si="13"/>
        <v>Consider</v>
      </c>
      <c r="U47" s="69" t="str">
        <f t="shared" si="14"/>
        <v>Pass</v>
      </c>
      <c r="V47" s="69">
        <f t="shared" si="15"/>
        <v>0</v>
      </c>
      <c r="W47" s="69">
        <f t="shared" si="16"/>
        <v>0</v>
      </c>
      <c r="X47" s="69" t="str">
        <f t="shared" si="17"/>
        <v>Cần mô tả rõ thêm về các main-flow</v>
      </c>
      <c r="Y47" s="69">
        <f t="shared" si="18"/>
        <v>0</v>
      </c>
      <c r="Z47" s="69">
        <f t="shared" si="19"/>
        <v>0</v>
      </c>
      <c r="AA47" s="69">
        <f t="shared" si="20"/>
        <v>0</v>
      </c>
      <c r="AB47" s="69" t="str">
        <f t="shared" si="21"/>
        <v>Cần mô tả rõ thêm về các main-flow000</v>
      </c>
    </row>
    <row r="48" spans="1:28" s="69" customFormat="1" ht="15.5">
      <c r="A48" s="111">
        <v>48</v>
      </c>
      <c r="B48" s="112" t="s">
        <v>276</v>
      </c>
      <c r="C48" s="117"/>
      <c r="D48" s="117"/>
      <c r="E48" s="112" t="s">
        <v>52</v>
      </c>
      <c r="F48" s="112"/>
      <c r="G48" s="112"/>
      <c r="H48" s="112" t="s">
        <v>277</v>
      </c>
      <c r="I48" s="115">
        <v>1</v>
      </c>
      <c r="J48" s="103" t="s">
        <v>16</v>
      </c>
      <c r="K48" s="71" t="s">
        <v>19</v>
      </c>
      <c r="L48" s="70"/>
      <c r="M48" s="70" t="b">
        <f t="shared" si="11"/>
        <v>0</v>
      </c>
      <c r="N48" s="116" t="str" cm="1">
        <f t="array" ref="N48">_xlfn.IFS(J48="TaiNT51",T48,J48="HuongNTC2",U48,J48="KhanhKT",V48,J48="PhuongLHK",W48)</f>
        <v>Not Pass</v>
      </c>
      <c r="O48" s="116" t="str" cm="1">
        <f t="array" ref="O48">_xlfn.IFS(K48="TaiNT51",T48,K48="HuongNTC2",U48,K48="KhanhKT",V48,K48="PhuongLHK",W48)</f>
        <v>Not Pass</v>
      </c>
      <c r="P48" s="70" cm="1">
        <f t="array" ref="P48">_xlfn.IFS(N48="Pass",1,N48="Not Pass",-1,N48="Consider",0)+_xlfn.IFS(O48="Pass",1,O48="Not Pass",-1,O48="Consider",0)</f>
        <v>-2</v>
      </c>
      <c r="Q48" s="116" t="str">
        <f t="shared" si="12"/>
        <v/>
      </c>
      <c r="R48" s="70" cm="1">
        <f t="array" ref="R48">P48+_xlfn.IFS(Q48="Pass",1,Q48="Not Pass",-1,TRUE,0)</f>
        <v>-2</v>
      </c>
      <c r="S48" s="116" t="str" cm="1">
        <f t="array" ref="S48">_xlfn.IFS(R48&gt;0,"Pass",R48=0,"Consider",R48&lt;0,"Not Pass")</f>
        <v>Not Pass</v>
      </c>
      <c r="T48" s="69">
        <f t="shared" si="13"/>
        <v>0</v>
      </c>
      <c r="U48" s="69">
        <f t="shared" si="14"/>
        <v>0</v>
      </c>
      <c r="V48" s="69" t="str">
        <f t="shared" si="15"/>
        <v>Not Pass</v>
      </c>
      <c r="W48" s="69" t="str">
        <f t="shared" si="16"/>
        <v>Not Pass</v>
      </c>
      <c r="X48" s="69">
        <f t="shared" si="17"/>
        <v>0</v>
      </c>
      <c r="Y48" s="69">
        <f t="shared" si="18"/>
        <v>0</v>
      </c>
      <c r="Z48" s="69" t="str">
        <f t="shared" si="19"/>
        <v>- Đề tài quá lớn với đặc tả và đòi hỏi một nghiệp vụ cùng kinh nghiệm triển khai có chiều sâu</v>
      </c>
      <c r="AA48" s="69">
        <f t="shared" si="20"/>
        <v>0</v>
      </c>
      <c r="AB48" s="69" t="str">
        <f t="shared" si="21"/>
        <v>00- Đề tài quá lớn với đặc tả và đòi hỏi một nghiệp vụ cùng kinh nghiệm triển khai có chiều sâu0</v>
      </c>
    </row>
    <row r="49" spans="1:28" s="69" customFormat="1" ht="16" customHeight="1">
      <c r="A49" s="111">
        <v>49</v>
      </c>
      <c r="B49" s="112" t="s">
        <v>278</v>
      </c>
      <c r="C49" s="117"/>
      <c r="D49" s="117"/>
      <c r="E49" s="112" t="s">
        <v>52</v>
      </c>
      <c r="F49" s="112"/>
      <c r="G49" s="112"/>
      <c r="H49" s="112" t="s">
        <v>228</v>
      </c>
      <c r="I49" s="115">
        <v>1</v>
      </c>
      <c r="J49" s="103" t="s">
        <v>221</v>
      </c>
      <c r="K49" s="71" t="s">
        <v>16</v>
      </c>
      <c r="L49" s="70" t="s">
        <v>19</v>
      </c>
      <c r="M49" s="70" t="b">
        <f t="shared" si="11"/>
        <v>0</v>
      </c>
      <c r="N49" s="116" t="str" cm="1">
        <f t="array" ref="N49">_xlfn.IFS(J49="TaiNT51",T49,J49="HuongNTC2",U49,J49="KhanhKT",V49,J49="PhuongLHK",W49)</f>
        <v>Consider</v>
      </c>
      <c r="O49" s="116" t="str" cm="1">
        <f t="array" ref="O49">_xlfn.IFS(K49="TaiNT51",T49,K49="HuongNTC2",U49,K49="KhanhKT",V49,K49="PhuongLHK",W49)</f>
        <v>Consider</v>
      </c>
      <c r="P49" s="70" cm="1">
        <f t="array" ref="P49">_xlfn.IFS(N49="Pass",1,N49="Not Pass",-1,N49="Consider",0)+_xlfn.IFS(O49="Pass",1,O49="Not Pass",-1,O49="Consider",0)</f>
        <v>0</v>
      </c>
      <c r="Q49" s="116" t="str">
        <f t="shared" si="12"/>
        <v>Not Pass</v>
      </c>
      <c r="R49" s="70" cm="1">
        <f t="array" ref="R49">P49+_xlfn.IFS(Q49="Pass",1,Q49="Not Pass",-1,TRUE,0)</f>
        <v>-1</v>
      </c>
      <c r="S49" s="116" t="str" cm="1">
        <f t="array" ref="S49">_xlfn.IFS(R49&gt;0,"Pass",R49=0,"Consider",R49&lt;0,"Not Pass")</f>
        <v>Not Pass</v>
      </c>
      <c r="T49" s="69" t="str">
        <f t="shared" si="13"/>
        <v>Consider</v>
      </c>
      <c r="U49" s="69">
        <f t="shared" si="14"/>
        <v>0</v>
      </c>
      <c r="V49" s="69" t="str">
        <f t="shared" si="15"/>
        <v>Consider</v>
      </c>
      <c r="W49" s="69" t="str">
        <f t="shared" si="16"/>
        <v>Not Pass</v>
      </c>
      <c r="X49" s="69" t="str">
        <f t="shared" si="17"/>
        <v>Cần mô tả rõ thêm về các main-flow</v>
      </c>
      <c r="Y49" s="69">
        <f t="shared" si="18"/>
        <v>0</v>
      </c>
      <c r="Z49" s="69" t="str">
        <f t="shared" si="19"/>
        <v>- Cần làm rõ quy trình core flow để hỗ trợ sv thực hiện và bảo vệ</v>
      </c>
      <c r="AA49" s="69">
        <f t="shared" si="20"/>
        <v>0</v>
      </c>
      <c r="AB49" s="69" t="str">
        <f t="shared" si="21"/>
        <v>Cần mô tả rõ thêm về các main-flow0- Cần làm rõ quy trình core flow để hỗ trợ sv thực hiện và bảo vệ0</v>
      </c>
    </row>
    <row r="50" spans="1:28" s="69" customFormat="1" ht="31.5" customHeight="1">
      <c r="A50" s="111">
        <v>50</v>
      </c>
      <c r="B50" s="112" t="s">
        <v>279</v>
      </c>
      <c r="C50" s="117"/>
      <c r="D50" s="117"/>
      <c r="E50" s="112" t="s">
        <v>53</v>
      </c>
      <c r="F50" s="112"/>
      <c r="G50" s="112"/>
      <c r="H50" s="112" t="s">
        <v>220</v>
      </c>
      <c r="I50" s="115">
        <v>1</v>
      </c>
      <c r="J50" s="103" t="s">
        <v>221</v>
      </c>
      <c r="K50" s="71" t="s">
        <v>16</v>
      </c>
      <c r="L50" s="70" t="s">
        <v>19</v>
      </c>
      <c r="M50" s="70" t="b">
        <f t="shared" si="11"/>
        <v>0</v>
      </c>
      <c r="N50" s="116" t="str" cm="1">
        <f t="array" ref="N50">_xlfn.IFS(J50="TaiNT51",T50,J50="HuongNTC2",U50,J50="KhanhKT",V50,J50="PhuongLHK",W50)</f>
        <v>Pass</v>
      </c>
      <c r="O50" s="116" t="str" cm="1">
        <f t="array" ref="O50">_xlfn.IFS(K50="TaiNT51",T50,K50="HuongNTC2",U50,K50="KhanhKT",V50,K50="PhuongLHK",W50)</f>
        <v>Not Pass</v>
      </c>
      <c r="P50" s="70" cm="1">
        <f t="array" ref="P50">_xlfn.IFS(N50="Pass",1,N50="Not Pass",-1,N50="Consider",0)+_xlfn.IFS(O50="Pass",1,O50="Not Pass",-1,O50="Consider",0)</f>
        <v>0</v>
      </c>
      <c r="Q50" s="116" t="str">
        <f t="shared" si="12"/>
        <v>Pass</v>
      </c>
      <c r="R50" s="70" cm="1">
        <f t="array" ref="R50">P50+_xlfn.IFS(Q50="Pass",1,Q50="Not Pass",-1,TRUE,0)</f>
        <v>1</v>
      </c>
      <c r="S50" s="116" t="str" cm="1">
        <f t="array" ref="S50">_xlfn.IFS(R50&gt;0,"Pass",R50=0,"Consider",R50&lt;0,"Not Pass")</f>
        <v>Pass</v>
      </c>
      <c r="T50" s="69" t="str">
        <f t="shared" si="13"/>
        <v>Pass</v>
      </c>
      <c r="U50" s="69">
        <f t="shared" si="14"/>
        <v>0</v>
      </c>
      <c r="V50" s="69" t="str">
        <f t="shared" si="15"/>
        <v>Not Pass</v>
      </c>
      <c r="W50" s="69" t="str">
        <f t="shared" si="16"/>
        <v>Pass</v>
      </c>
      <c r="X50" s="69" t="str">
        <f t="shared" si="17"/>
        <v>Nên mô tả rõ thêm về các main-flow</v>
      </c>
      <c r="Y50" s="69">
        <f t="shared" si="18"/>
        <v>0</v>
      </c>
      <c r="Z50" s="69" t="str">
        <f t="shared" si="19"/>
        <v>- Đề tài quá lớn, đặc biệt áp dung trong lĩnh vững giáo dục cùng sự cá nhân hóa. Việc nói đòi hỏi phải có dữ liệu lớn về đào tạo trong khoảng thời gian dài, không đơn giản chỉ là vài thông tin.</v>
      </c>
      <c r="AA50" s="69">
        <f t="shared" si="20"/>
        <v>0</v>
      </c>
      <c r="AB50" s="69" t="str">
        <f t="shared" si="21"/>
        <v>Nên mô tả rõ thêm về các main-flow0- Đề tài quá lớn, đặc biệt áp dung trong lĩnh vững giáo dục cùng sự cá nhân hóa. Việc nói đòi hỏi phải có dữ liệu lớn về đào tạo trong khoảng thời gian dài, không đơn giản chỉ là vài thông tin.0</v>
      </c>
    </row>
    <row r="51" spans="1:28" s="69" customFormat="1" ht="31.5" customHeight="1">
      <c r="A51" s="111">
        <v>51</v>
      </c>
      <c r="B51" s="112" t="s">
        <v>280</v>
      </c>
      <c r="C51" s="121"/>
      <c r="D51" s="121"/>
      <c r="E51" s="112" t="s">
        <v>53</v>
      </c>
      <c r="F51" s="112"/>
      <c r="G51" s="112"/>
      <c r="H51" s="114"/>
      <c r="I51" s="115">
        <v>1</v>
      </c>
      <c r="J51" s="103" t="s">
        <v>221</v>
      </c>
      <c r="K51" s="71" t="s">
        <v>16</v>
      </c>
      <c r="L51" s="70"/>
      <c r="M51" s="70" t="b">
        <f t="shared" si="11"/>
        <v>0</v>
      </c>
      <c r="N51" s="116" t="str" cm="1">
        <f t="array" ref="N51">_xlfn.IFS(J51="TaiNT51",T51,J51="HuongNTC2",U51,J51="KhanhKT",V51,J51="PhuongLHK",W51)</f>
        <v>Pass</v>
      </c>
      <c r="O51" s="116" t="str" cm="1">
        <f t="array" ref="O51">_xlfn.IFS(K51="TaiNT51",T51,K51="HuongNTC2",U51,K51="KhanhKT",V51,K51="PhuongLHK",W51)</f>
        <v>Consider</v>
      </c>
      <c r="P51" s="70" cm="1">
        <f t="array" ref="P51">_xlfn.IFS(N51="Pass",1,N51="Not Pass",-1,N51="Consider",0)+_xlfn.IFS(O51="Pass",1,O51="Not Pass",-1,O51="Consider",0)</f>
        <v>1</v>
      </c>
      <c r="Q51" s="116" t="str">
        <f t="shared" si="12"/>
        <v/>
      </c>
      <c r="R51" s="70" cm="1">
        <f t="array" ref="R51">P51+_xlfn.IFS(Q51="Pass",1,Q51="Not Pass",-1,TRUE,0)</f>
        <v>1</v>
      </c>
      <c r="S51" s="116" t="str" cm="1">
        <f t="array" ref="S51">_xlfn.IFS(R51&gt;0,"Pass",R51=0,"Consider",R51&lt;0,"Not Pass")</f>
        <v>Pass</v>
      </c>
      <c r="T51" s="69" t="str">
        <f t="shared" si="13"/>
        <v>Pass</v>
      </c>
      <c r="U51" s="69">
        <f t="shared" si="14"/>
        <v>0</v>
      </c>
      <c r="V51" s="69" t="str">
        <f t="shared" si="15"/>
        <v>Consider</v>
      </c>
      <c r="W51" s="69">
        <f t="shared" si="16"/>
        <v>0</v>
      </c>
      <c r="X51" s="69" t="str">
        <f t="shared" si="17"/>
        <v>Nên mô tả rõ thêm về các main-flow</v>
      </c>
      <c r="Y51" s="69">
        <f t="shared" si="18"/>
        <v>0</v>
      </c>
      <c r="Z51" s="69" t="str">
        <f t="shared" si="19"/>
        <v>- Cần làm rõ quy trình core flow để hỗ trợ sv thực hiện và bảo vệ</v>
      </c>
      <c r="AA51" s="69">
        <f t="shared" si="20"/>
        <v>0</v>
      </c>
      <c r="AB51" s="69" t="str">
        <f t="shared" si="21"/>
        <v>Nên mô tả rõ thêm về các main-flow0- Cần làm rõ quy trình core flow để hỗ trợ sv thực hiện và bảo vệ0</v>
      </c>
    </row>
    <row r="52" spans="1:28" s="69" customFormat="1" ht="31.5" customHeight="1">
      <c r="A52" s="111">
        <v>52</v>
      </c>
      <c r="B52" s="112" t="s">
        <v>281</v>
      </c>
      <c r="C52" s="117"/>
      <c r="D52" s="117"/>
      <c r="E52" s="112" t="s">
        <v>53</v>
      </c>
      <c r="F52" s="112"/>
      <c r="G52" s="112"/>
      <c r="H52" s="114"/>
      <c r="I52" s="115">
        <v>1</v>
      </c>
      <c r="J52" s="103" t="s">
        <v>221</v>
      </c>
      <c r="K52" s="71" t="s">
        <v>16</v>
      </c>
      <c r="L52" s="70"/>
      <c r="M52" s="70" t="b">
        <f t="shared" si="11"/>
        <v>0</v>
      </c>
      <c r="N52" s="116" t="str" cm="1">
        <f t="array" ref="N52">_xlfn.IFS(J52="TaiNT51",T52,J52="HuongNTC2",U52,J52="KhanhKT",V52,J52="PhuongLHK",W52)</f>
        <v>Pass</v>
      </c>
      <c r="O52" s="116" t="str" cm="1">
        <f t="array" ref="O52">_xlfn.IFS(K52="TaiNT51",T52,K52="HuongNTC2",U52,K52="KhanhKT",V52,K52="PhuongLHK",W52)</f>
        <v>Pass</v>
      </c>
      <c r="P52" s="70" cm="1">
        <f t="array" ref="P52">_xlfn.IFS(N52="Pass",1,N52="Not Pass",-1,N52="Consider",0)+_xlfn.IFS(O52="Pass",1,O52="Not Pass",-1,O52="Consider",0)</f>
        <v>2</v>
      </c>
      <c r="Q52" s="116" t="str">
        <f t="shared" si="12"/>
        <v/>
      </c>
      <c r="R52" s="70" cm="1">
        <f t="array" ref="R52">P52+_xlfn.IFS(Q52="Pass",1,Q52="Not Pass",-1,TRUE,0)</f>
        <v>2</v>
      </c>
      <c r="S52" s="116" t="str" cm="1">
        <f t="array" ref="S52">_xlfn.IFS(R52&gt;0,"Pass",R52=0,"Consider",R52&lt;0,"Not Pass")</f>
        <v>Pass</v>
      </c>
      <c r="T52" s="69" t="str">
        <f t="shared" si="13"/>
        <v>Pass</v>
      </c>
      <c r="U52" s="69">
        <f t="shared" si="14"/>
        <v>0</v>
      </c>
      <c r="V52" s="69" t="str">
        <f t="shared" si="15"/>
        <v>Pass</v>
      </c>
      <c r="W52" s="69">
        <f t="shared" si="16"/>
        <v>0</v>
      </c>
      <c r="X52" s="69">
        <f t="shared" si="17"/>
        <v>0</v>
      </c>
      <c r="Y52" s="69">
        <f t="shared" si="18"/>
        <v>0</v>
      </c>
      <c r="Z52" s="69" t="str">
        <f t="shared" si="19"/>
        <v>- Cần làm rõ quy trình core flow để hỗ trợ sv thực hiện và bảo vệ</v>
      </c>
      <c r="AA52" s="69">
        <f t="shared" si="20"/>
        <v>0</v>
      </c>
      <c r="AB52" s="69" t="str">
        <f t="shared" si="21"/>
        <v>00- Cần làm rõ quy trình core flow để hỗ trợ sv thực hiện và bảo vệ0</v>
      </c>
    </row>
    <row r="53" spans="1:28" s="69" customFormat="1" ht="31.5" customHeight="1">
      <c r="A53" s="111">
        <v>53</v>
      </c>
      <c r="B53" s="112" t="s">
        <v>282</v>
      </c>
      <c r="C53" s="117"/>
      <c r="D53" s="117"/>
      <c r="E53" s="112" t="s">
        <v>53</v>
      </c>
      <c r="F53" s="112"/>
      <c r="G53" s="112"/>
      <c r="H53" s="114"/>
      <c r="I53" s="115">
        <v>1</v>
      </c>
      <c r="J53" s="103" t="s">
        <v>225</v>
      </c>
      <c r="K53" s="71" t="s">
        <v>221</v>
      </c>
      <c r="L53" s="70"/>
      <c r="M53" s="70" t="b">
        <f t="shared" si="11"/>
        <v>0</v>
      </c>
      <c r="N53" s="116" t="str" cm="1">
        <f t="array" ref="N53">_xlfn.IFS(J53="TaiNT51",T53,J53="HuongNTC2",U53,J53="KhanhKT",V53,J53="PhuongLHK",W53)</f>
        <v>Consider</v>
      </c>
      <c r="O53" s="116" t="str" cm="1">
        <f t="array" ref="O53">_xlfn.IFS(K53="TaiNT51",T53,K53="HuongNTC2",U53,K53="KhanhKT",V53,K53="PhuongLHK",W53)</f>
        <v>Pass</v>
      </c>
      <c r="P53" s="70" cm="1">
        <f t="array" ref="P53">_xlfn.IFS(N53="Pass",1,N53="Not Pass",-1,N53="Consider",0)+_xlfn.IFS(O53="Pass",1,O53="Not Pass",-1,O53="Consider",0)</f>
        <v>1</v>
      </c>
      <c r="Q53" s="116" t="str">
        <f t="shared" si="12"/>
        <v/>
      </c>
      <c r="R53" s="70" cm="1">
        <f t="array" ref="R53">P53+_xlfn.IFS(Q53="Pass",1,Q53="Not Pass",-1,TRUE,0)</f>
        <v>1</v>
      </c>
      <c r="S53" s="116" t="str" cm="1">
        <f t="array" ref="S53">_xlfn.IFS(R53&gt;0,"Pass",R53=0,"Consider",R53&lt;0,"Not Pass")</f>
        <v>Pass</v>
      </c>
      <c r="T53" s="69" t="str">
        <f t="shared" si="13"/>
        <v>Pass</v>
      </c>
      <c r="U53" s="69" t="str">
        <f t="shared" si="14"/>
        <v>Consider</v>
      </c>
      <c r="V53" s="69">
        <f t="shared" si="15"/>
        <v>0</v>
      </c>
      <c r="W53" s="69">
        <f t="shared" si="16"/>
        <v>0</v>
      </c>
      <c r="X53" s="69">
        <f t="shared" si="17"/>
        <v>0</v>
      </c>
      <c r="Y53" s="69" t="str">
        <f t="shared" si="18"/>
        <v>Nên điều chỉnh NFC card thành công nghệ khác. Check attendance có thể không dùng NFC card mà???</v>
      </c>
      <c r="Z53" s="69">
        <f t="shared" si="19"/>
        <v>0</v>
      </c>
      <c r="AA53" s="69">
        <f t="shared" si="20"/>
        <v>0</v>
      </c>
      <c r="AB53" s="69" t="str">
        <f t="shared" si="21"/>
        <v>0Nên điều chỉnh NFC card thành công nghệ khác. Check attendance có thể không dùng NFC card mà???00</v>
      </c>
    </row>
    <row r="54" spans="1:28" s="69" customFormat="1" ht="47" customHeight="1">
      <c r="A54" s="111">
        <v>54</v>
      </c>
      <c r="B54" s="112" t="s">
        <v>283</v>
      </c>
      <c r="C54" s="118"/>
      <c r="D54" s="118"/>
      <c r="E54" s="112" t="s">
        <v>53</v>
      </c>
      <c r="F54" s="112"/>
      <c r="G54" s="112"/>
      <c r="H54" s="114"/>
      <c r="I54" s="115">
        <v>1</v>
      </c>
      <c r="J54" s="103" t="s">
        <v>225</v>
      </c>
      <c r="K54" s="71" t="s">
        <v>221</v>
      </c>
      <c r="L54" s="70"/>
      <c r="M54" s="70" t="b">
        <f t="shared" si="11"/>
        <v>0</v>
      </c>
      <c r="N54" s="116" t="str" cm="1">
        <f t="array" ref="N54">_xlfn.IFS(J54="TaiNT51",T54,J54="HuongNTC2",U54,J54="KhanhKT",V54,J54="PhuongLHK",W54)</f>
        <v>Pass</v>
      </c>
      <c r="O54" s="116" t="str" cm="1">
        <f t="array" ref="O54">_xlfn.IFS(K54="TaiNT51",T54,K54="HuongNTC2",U54,K54="KhanhKT",V54,K54="PhuongLHK",W54)</f>
        <v>Pass</v>
      </c>
      <c r="P54" s="70" cm="1">
        <f t="array" ref="P54">_xlfn.IFS(N54="Pass",1,N54="Not Pass",-1,N54="Consider",0)+_xlfn.IFS(O54="Pass",1,O54="Not Pass",-1,O54="Consider",0)</f>
        <v>2</v>
      </c>
      <c r="Q54" s="116" t="str">
        <f t="shared" si="12"/>
        <v/>
      </c>
      <c r="R54" s="70" cm="1">
        <f t="array" ref="R54">P54+_xlfn.IFS(Q54="Pass",1,Q54="Not Pass",-1,TRUE,0)</f>
        <v>2</v>
      </c>
      <c r="S54" s="116" t="str" cm="1">
        <f t="array" ref="S54">_xlfn.IFS(R54&gt;0,"Pass",R54=0,"Consider",R54&lt;0,"Not Pass")</f>
        <v>Pass</v>
      </c>
      <c r="T54" s="69" t="str">
        <f t="shared" si="13"/>
        <v>Pass</v>
      </c>
      <c r="U54" s="69" t="str">
        <f t="shared" si="14"/>
        <v>Pass</v>
      </c>
      <c r="V54" s="69">
        <f t="shared" si="15"/>
        <v>0</v>
      </c>
      <c r="W54" s="69">
        <f t="shared" si="16"/>
        <v>0</v>
      </c>
      <c r="X54" s="69">
        <f t="shared" si="17"/>
        <v>0</v>
      </c>
      <c r="Y54" s="69">
        <f t="shared" si="18"/>
        <v>0</v>
      </c>
      <c r="Z54" s="69">
        <f t="shared" si="19"/>
        <v>0</v>
      </c>
      <c r="AA54" s="69">
        <f t="shared" si="20"/>
        <v>0</v>
      </c>
      <c r="AB54" s="69" t="str">
        <f t="shared" si="21"/>
        <v>0000</v>
      </c>
    </row>
    <row r="55" spans="1:28" s="69" customFormat="1" ht="15.5">
      <c r="A55" s="111">
        <v>55</v>
      </c>
      <c r="B55" s="112" t="s">
        <v>291</v>
      </c>
      <c r="C55" s="117"/>
      <c r="D55" s="117"/>
      <c r="E55" s="112" t="s">
        <v>52</v>
      </c>
      <c r="F55" s="112"/>
      <c r="G55" s="112"/>
      <c r="H55" s="112" t="s">
        <v>23</v>
      </c>
      <c r="I55" s="115">
        <v>1</v>
      </c>
      <c r="J55" s="71" t="s">
        <v>225</v>
      </c>
      <c r="K55" s="71" t="s">
        <v>16</v>
      </c>
      <c r="L55" s="72" t="s">
        <v>19</v>
      </c>
      <c r="M55" s="70" t="b">
        <f t="shared" si="11"/>
        <v>0</v>
      </c>
      <c r="N55" s="116" t="str" cm="1">
        <f t="array" ref="N55">_xlfn.IFS(J55="TaiNT51",T55,J55="HuongNTC2",U55,J55="KhanhKT",V55,J55="PhuongLHK",W55)</f>
        <v>Not Pass</v>
      </c>
      <c r="O55" s="116" t="str" cm="1">
        <f t="array" ref="O55">_xlfn.IFS(K55="TaiNT51",T55,K55="HuongNTC2",U55,K55="KhanhKT",V55,K55="PhuongLHK",W55)</f>
        <v>Pass</v>
      </c>
      <c r="P55" s="70" cm="1">
        <f t="array" ref="P55">_xlfn.IFS(N55="Pass",1,N55="Not Pass",-1,N55="Consider",0)+_xlfn.IFS(O55="Pass",1,O55="Not Pass",-1,O55="Consider",0)</f>
        <v>0</v>
      </c>
      <c r="Q55" s="116" t="str">
        <f t="shared" si="12"/>
        <v>Not Pass</v>
      </c>
      <c r="R55" s="70" cm="1">
        <f t="array" ref="R55">P55+_xlfn.IFS(Q55="Pass",1,Q55="Not Pass",-1,TRUE,0)</f>
        <v>-1</v>
      </c>
      <c r="S55" s="116" t="str" cm="1">
        <f t="array" ref="S55">_xlfn.IFS(R55&gt;0,"Pass",R55=0,"Consider",R55&lt;0,"Not Pass")</f>
        <v>Not Pass</v>
      </c>
      <c r="T55" s="69">
        <f t="shared" si="13"/>
        <v>0</v>
      </c>
      <c r="U55" s="69" t="str">
        <f t="shared" si="14"/>
        <v>Not Pass</v>
      </c>
      <c r="V55" s="69" t="str">
        <f t="shared" si="15"/>
        <v>Pass</v>
      </c>
      <c r="W55" s="69" t="str">
        <f t="shared" si="16"/>
        <v>Not Pass</v>
      </c>
      <c r="X55" s="69">
        <f t="shared" si="17"/>
        <v>0</v>
      </c>
      <c r="Y55" s="69" t="str">
        <f t="shared" si="18"/>
        <v>Đề tài quản lý nhân sự nhưng tập trung vào quản lý tuyển dụng qua CV. Extract CV dùng AI không còn tốn quá nhiều effort nữa.</v>
      </c>
      <c r="Z55" s="69" t="str">
        <f t="shared" si="19"/>
        <v>- Cần làm rõ quy trình core flow để hỗ trợ sv thực hiện và bảo vệ</v>
      </c>
      <c r="AA55" s="69" t="str">
        <f t="shared" si="20"/>
        <v>Đề tài chung chung, trùng với các đề tài hiện có</v>
      </c>
      <c r="AB55" s="69" t="str">
        <f t="shared" si="21"/>
        <v>0Đề tài quản lý nhân sự nhưng tập trung vào quản lý tuyển dụng qua CV. Extract CV dùng AI không còn tốn quá nhiều effort nữa.- Cần làm rõ quy trình core flow để hỗ trợ sv thực hiện và bảo vệĐề tài chung chung, trùng với các đề tài hiện có</v>
      </c>
    </row>
    <row r="56" spans="1:28" s="69" customFormat="1" ht="31.5" customHeight="1">
      <c r="A56" s="111">
        <v>56</v>
      </c>
      <c r="B56" s="112" t="s">
        <v>292</v>
      </c>
      <c r="C56" s="117"/>
      <c r="D56" s="117"/>
      <c r="E56" s="112" t="s">
        <v>52</v>
      </c>
      <c r="F56" s="112"/>
      <c r="G56" s="112"/>
      <c r="H56" s="112" t="s">
        <v>23</v>
      </c>
      <c r="I56" s="115">
        <v>1</v>
      </c>
      <c r="J56" s="71" t="s">
        <v>225</v>
      </c>
      <c r="K56" s="71" t="s">
        <v>16</v>
      </c>
      <c r="L56" s="72" t="s">
        <v>19</v>
      </c>
      <c r="M56" s="70" t="b">
        <f t="shared" si="11"/>
        <v>0</v>
      </c>
      <c r="N56" s="116" t="str" cm="1">
        <f t="array" ref="N56">_xlfn.IFS(J56="TaiNT51",T56,J56="HuongNTC2",U56,J56="KhanhKT",V56,J56="PhuongLHK",W56)</f>
        <v>Pass</v>
      </c>
      <c r="O56" s="116" t="str" cm="1">
        <f t="array" ref="O56">_xlfn.IFS(K56="TaiNT51",T56,K56="HuongNTC2",U56,K56="KhanhKT",V56,K56="PhuongLHK",W56)</f>
        <v>Not Pass</v>
      </c>
      <c r="P56" s="70" cm="1">
        <f t="array" ref="P56">_xlfn.IFS(N56="Pass",1,N56="Not Pass",-1,N56="Consider",0)+_xlfn.IFS(O56="Pass",1,O56="Not Pass",-1,O56="Consider",0)</f>
        <v>0</v>
      </c>
      <c r="Q56" s="116" t="str">
        <f t="shared" si="12"/>
        <v>Pass</v>
      </c>
      <c r="R56" s="70" cm="1">
        <f t="array" ref="R56">P56+_xlfn.IFS(Q56="Pass",1,Q56="Not Pass",-1,TRUE,0)</f>
        <v>1</v>
      </c>
      <c r="S56" s="116" t="str" cm="1">
        <f t="array" ref="S56">_xlfn.IFS(R56&gt;0,"Pass",R56=0,"Consider",R56&lt;0,"Not Pass")</f>
        <v>Pass</v>
      </c>
      <c r="T56" s="69">
        <f t="shared" si="13"/>
        <v>0</v>
      </c>
      <c r="U56" s="69" t="str">
        <f t="shared" si="14"/>
        <v>Pass</v>
      </c>
      <c r="V56" s="69" t="str">
        <f t="shared" si="15"/>
        <v>Not Pass</v>
      </c>
      <c r="W56" s="69" t="str">
        <f t="shared" si="16"/>
        <v>Pass</v>
      </c>
      <c r="X56" s="69">
        <f t="shared" si="17"/>
        <v>0</v>
      </c>
      <c r="Y56" s="69">
        <f t="shared" si="18"/>
        <v>0</v>
      </c>
      <c r="Z56" s="69" t="str">
        <f t="shared" si="19"/>
        <v>- Đề tài dạng sinh trắc học áp dụng và bảo vệ thành công và chỉ cần thay đổi đối tượng là xong --&gt; không nên sử dụng dạng đề tài này vì khó xác nhận nội dung hiện thực</v>
      </c>
      <c r="AA56" s="69">
        <f t="shared" si="20"/>
        <v>0</v>
      </c>
      <c r="AB56" s="69" t="str">
        <f t="shared" si="21"/>
        <v>00- Đề tài dạng sinh trắc học áp dụng và bảo vệ thành công và chỉ cần thay đổi đối tượng là xong --&gt; không nên sử dụng dạng đề tài này vì khó xác nhận nội dung hiện thực0</v>
      </c>
    </row>
    <row r="57" spans="1:28" s="69" customFormat="1" ht="31.5" customHeight="1">
      <c r="A57" s="111">
        <v>57</v>
      </c>
      <c r="B57" s="112" t="s">
        <v>293</v>
      </c>
      <c r="C57" s="125"/>
      <c r="D57" s="126"/>
      <c r="E57" s="112" t="s">
        <v>53</v>
      </c>
      <c r="F57" s="112"/>
      <c r="G57" s="112"/>
      <c r="H57" s="114"/>
      <c r="I57" s="115">
        <v>1</v>
      </c>
      <c r="J57" s="71" t="s">
        <v>225</v>
      </c>
      <c r="K57" s="71" t="s">
        <v>16</v>
      </c>
      <c r="L57" s="72"/>
      <c r="M57" s="70" t="b">
        <f t="shared" si="11"/>
        <v>0</v>
      </c>
      <c r="N57" s="116" t="str" cm="1">
        <f t="array" ref="N57">_xlfn.IFS(J57="TaiNT51",T57,J57="HuongNTC2",U57,J57="KhanhKT",V57,J57="PhuongLHK",W57)</f>
        <v>Pass</v>
      </c>
      <c r="O57" s="116" t="str" cm="1">
        <f t="array" ref="O57">_xlfn.IFS(K57="TaiNT51",T57,K57="HuongNTC2",U57,K57="KhanhKT",V57,K57="PhuongLHK",W57)</f>
        <v>Consider</v>
      </c>
      <c r="P57" s="70" cm="1">
        <f t="array" ref="P57">_xlfn.IFS(N57="Pass",1,N57="Not Pass",-1,N57="Consider",0)+_xlfn.IFS(O57="Pass",1,O57="Not Pass",-1,O57="Consider",0)</f>
        <v>1</v>
      </c>
      <c r="Q57" s="116" t="str">
        <f t="shared" si="12"/>
        <v/>
      </c>
      <c r="R57" s="70" cm="1">
        <f t="array" ref="R57">P57+_xlfn.IFS(Q57="Pass",1,Q57="Not Pass",-1,TRUE,0)</f>
        <v>1</v>
      </c>
      <c r="S57" s="116" t="str" cm="1">
        <f t="array" ref="S57">_xlfn.IFS(R57&gt;0,"Pass",R57=0,"Consider",R57&lt;0,"Not Pass")</f>
        <v>Pass</v>
      </c>
      <c r="T57" s="69">
        <f t="shared" si="13"/>
        <v>0</v>
      </c>
      <c r="U57" s="69" t="str">
        <f t="shared" si="14"/>
        <v>Pass</v>
      </c>
      <c r="V57" s="69" t="str">
        <f t="shared" si="15"/>
        <v>Consider</v>
      </c>
      <c r="W57" s="69">
        <f t="shared" si="16"/>
        <v>0</v>
      </c>
      <c r="X57" s="69">
        <f t="shared" si="17"/>
        <v>0</v>
      </c>
      <c r="Y57" s="69">
        <f t="shared" si="18"/>
        <v>0</v>
      </c>
      <c r="Z57" s="69" t="str">
        <f t="shared" si="19"/>
        <v>- Với nội dung giáo dục cần xác định lĩnh vực cụ thể, nội dung focus, không mô tả chung chung rất khó cho sv thực hiện và triển khai.</v>
      </c>
      <c r="AA57" s="69">
        <f t="shared" si="20"/>
        <v>0</v>
      </c>
      <c r="AB57" s="69" t="str">
        <f t="shared" si="21"/>
        <v>00- Với nội dung giáo dục cần xác định lĩnh vực cụ thể, nội dung focus, không mô tả chung chung rất khó cho sv thực hiện và triển khai.0</v>
      </c>
    </row>
    <row r="58" spans="1:28" s="69" customFormat="1" ht="15.5">
      <c r="A58" s="111">
        <v>58</v>
      </c>
      <c r="B58" s="112" t="s">
        <v>294</v>
      </c>
      <c r="C58" s="117"/>
      <c r="D58" s="117"/>
      <c r="E58" s="112" t="s">
        <v>53</v>
      </c>
      <c r="F58" s="112"/>
      <c r="G58" s="112"/>
      <c r="H58" s="114"/>
      <c r="I58" s="115">
        <v>1</v>
      </c>
      <c r="J58" s="71" t="s">
        <v>225</v>
      </c>
      <c r="K58" s="71" t="s">
        <v>19</v>
      </c>
      <c r="L58" s="72"/>
      <c r="M58" s="70" t="b">
        <f t="shared" si="11"/>
        <v>0</v>
      </c>
      <c r="N58" s="116" t="str" cm="1">
        <f t="array" ref="N58">_xlfn.IFS(J58="TaiNT51",T58,J58="HuongNTC2",U58,J58="KhanhKT",V58,J58="PhuongLHK",W58)</f>
        <v>Pass</v>
      </c>
      <c r="O58" s="116" t="str" cm="1">
        <f t="array" ref="O58">_xlfn.IFS(K58="TaiNT51",T58,K58="HuongNTC2",U58,K58="KhanhKT",V58,K58="PhuongLHK",W58)</f>
        <v>Pass</v>
      </c>
      <c r="P58" s="70" cm="1">
        <f t="array" ref="P58">_xlfn.IFS(N58="Pass",1,N58="Not Pass",-1,N58="Consider",0)+_xlfn.IFS(O58="Pass",1,O58="Not Pass",-1,O58="Consider",0)</f>
        <v>2</v>
      </c>
      <c r="Q58" s="116" t="str">
        <f t="shared" si="12"/>
        <v/>
      </c>
      <c r="R58" s="70" cm="1">
        <f t="array" ref="R58">P58+_xlfn.IFS(Q58="Pass",1,Q58="Not Pass",-1,TRUE,0)</f>
        <v>2</v>
      </c>
      <c r="S58" s="116" t="str" cm="1">
        <f t="array" ref="S58">_xlfn.IFS(R58&gt;0,"Pass",R58=0,"Consider",R58&lt;0,"Not Pass")</f>
        <v>Pass</v>
      </c>
      <c r="T58" s="69">
        <f t="shared" si="13"/>
        <v>0</v>
      </c>
      <c r="U58" s="69" t="str">
        <f t="shared" si="14"/>
        <v>Pass</v>
      </c>
      <c r="V58" s="69">
        <f t="shared" si="15"/>
        <v>0</v>
      </c>
      <c r="W58" s="69" t="str">
        <f t="shared" si="16"/>
        <v>Pass</v>
      </c>
      <c r="X58" s="69">
        <f t="shared" si="17"/>
        <v>0</v>
      </c>
      <c r="Y58" s="69">
        <f t="shared" si="18"/>
        <v>0</v>
      </c>
      <c r="Z58" s="69">
        <f t="shared" si="19"/>
        <v>0</v>
      </c>
      <c r="AA58" s="69">
        <f t="shared" si="20"/>
        <v>0</v>
      </c>
      <c r="AB58" s="69" t="str">
        <f t="shared" si="21"/>
        <v>0000</v>
      </c>
    </row>
    <row r="59" spans="1:28" s="69" customFormat="1" ht="31.5" customHeight="1">
      <c r="A59" s="111">
        <v>59</v>
      </c>
      <c r="B59" s="112" t="s">
        <v>295</v>
      </c>
      <c r="C59" s="117"/>
      <c r="D59" s="117"/>
      <c r="E59" s="112" t="s">
        <v>53</v>
      </c>
      <c r="F59" s="112"/>
      <c r="G59" s="112"/>
      <c r="H59" s="114"/>
      <c r="I59" s="115">
        <v>1</v>
      </c>
      <c r="J59" s="71" t="s">
        <v>225</v>
      </c>
      <c r="K59" s="71" t="s">
        <v>19</v>
      </c>
      <c r="L59" s="72"/>
      <c r="M59" s="70" t="b">
        <f t="shared" si="11"/>
        <v>0</v>
      </c>
      <c r="N59" s="116" t="str" cm="1">
        <f t="array" ref="N59">_xlfn.IFS(J59="TaiNT51",T59,J59="HuongNTC2",U59,J59="KhanhKT",V59,J59="PhuongLHK",W59)</f>
        <v>Consider</v>
      </c>
      <c r="O59" s="116" t="str" cm="1">
        <f t="array" ref="O59">_xlfn.IFS(K59="TaiNT51",T59,K59="HuongNTC2",U59,K59="KhanhKT",V59,K59="PhuongLHK",W59)</f>
        <v>Not Pass</v>
      </c>
      <c r="P59" s="70" cm="1">
        <f t="array" ref="P59">_xlfn.IFS(N59="Pass",1,N59="Not Pass",-1,N59="Consider",0)+_xlfn.IFS(O59="Pass",1,O59="Not Pass",-1,O59="Consider",0)</f>
        <v>-1</v>
      </c>
      <c r="Q59" s="116" t="str">
        <f t="shared" si="12"/>
        <v/>
      </c>
      <c r="R59" s="70" cm="1">
        <f t="array" ref="R59">P59+_xlfn.IFS(Q59="Pass",1,Q59="Not Pass",-1,TRUE,0)</f>
        <v>-1</v>
      </c>
      <c r="S59" s="116" t="str" cm="1">
        <f t="array" ref="S59">_xlfn.IFS(R59&gt;0,"Pass",R59=0,"Consider",R59&lt;0,"Not Pass")</f>
        <v>Not Pass</v>
      </c>
      <c r="T59" s="69">
        <f t="shared" si="13"/>
        <v>0</v>
      </c>
      <c r="U59" s="69" t="str">
        <f t="shared" si="14"/>
        <v>Consider</v>
      </c>
      <c r="V59" s="69">
        <f t="shared" si="15"/>
        <v>0</v>
      </c>
      <c r="W59" s="69" t="str">
        <f t="shared" si="16"/>
        <v>Not Pass</v>
      </c>
      <c r="X59" s="69">
        <f t="shared" si="17"/>
        <v>0</v>
      </c>
      <c r="Y59" s="69" t="str">
        <f t="shared" si="18"/>
        <v>Cần làm rõ dữ liệu của trạm sạc từ đâu? Từ công ty hay từ cá nhân gia đình, vì nhiều yếu tố pháp lý, hệ thống chi trả và thuế</v>
      </c>
      <c r="Z59" s="69">
        <f t="shared" si="19"/>
        <v>0</v>
      </c>
      <c r="AA59" s="69">
        <f t="shared" si="20"/>
        <v>0</v>
      </c>
      <c r="AB59" s="69" t="str">
        <f t="shared" si="21"/>
        <v>0Cần làm rõ dữ liệu của trạm sạc từ đâu? Từ công ty hay từ cá nhân gia đình, vì nhiều yếu tố pháp lý, hệ thống chi trả và thuế00</v>
      </c>
    </row>
    <row r="60" spans="1:28" s="69" customFormat="1" ht="31.5" customHeight="1">
      <c r="A60" s="111">
        <v>60</v>
      </c>
      <c r="B60" s="112" t="s">
        <v>296</v>
      </c>
      <c r="C60" s="117"/>
      <c r="D60" s="117"/>
      <c r="E60" s="112" t="s">
        <v>53</v>
      </c>
      <c r="F60" s="112"/>
      <c r="G60" s="112"/>
      <c r="H60" s="114"/>
      <c r="I60" s="115">
        <v>1</v>
      </c>
      <c r="J60" s="71" t="s">
        <v>221</v>
      </c>
      <c r="K60" s="71" t="s">
        <v>225</v>
      </c>
      <c r="L60" s="72"/>
      <c r="M60" s="70" t="b">
        <f t="shared" si="11"/>
        <v>0</v>
      </c>
      <c r="N60" s="116" t="str" cm="1">
        <f t="array" ref="N60">_xlfn.IFS(J60="TaiNT51",T60,J60="HuongNTC2",U60,J60="KhanhKT",V60,J60="PhuongLHK",W60)</f>
        <v>Pass</v>
      </c>
      <c r="O60" s="116" t="str" cm="1">
        <f t="array" ref="O60">_xlfn.IFS(K60="TaiNT51",T60,K60="HuongNTC2",U60,K60="KhanhKT",V60,K60="PhuongLHK",W60)</f>
        <v>Consider</v>
      </c>
      <c r="P60" s="70" cm="1">
        <f t="array" ref="P60">_xlfn.IFS(N60="Pass",1,N60="Not Pass",-1,N60="Consider",0)+_xlfn.IFS(O60="Pass",1,O60="Not Pass",-1,O60="Consider",0)</f>
        <v>1</v>
      </c>
      <c r="Q60" s="116" t="str">
        <f t="shared" si="12"/>
        <v/>
      </c>
      <c r="R60" s="70" cm="1">
        <f t="array" ref="R60">P60+_xlfn.IFS(Q60="Pass",1,Q60="Not Pass",-1,TRUE,0)</f>
        <v>1</v>
      </c>
      <c r="S60" s="116" t="str" cm="1">
        <f t="array" ref="S60">_xlfn.IFS(R60&gt;0,"Pass",R60=0,"Consider",R60&lt;0,"Not Pass")</f>
        <v>Pass</v>
      </c>
      <c r="T60" s="69" t="str">
        <f t="shared" si="13"/>
        <v>Pass</v>
      </c>
      <c r="U60" s="69" t="str">
        <f t="shared" si="14"/>
        <v>Consider</v>
      </c>
      <c r="V60" s="69">
        <f t="shared" si="15"/>
        <v>0</v>
      </c>
      <c r="W60" s="69">
        <f t="shared" si="16"/>
        <v>0</v>
      </c>
      <c r="X60" s="69" t="str">
        <f t="shared" si="17"/>
        <v>Nên mô tả rõ thêm về các main-flow</v>
      </c>
      <c r="Y60" s="69" t="str">
        <f t="shared" si="18"/>
        <v>Cân nhắc tính năng ứng dụng AI vào đề tài vì đề tài không có tính mới, ghi nhận hành trình, tổng km lái thật, học thật,…., điều này cũng trùng khớp với quy định học lái oto</v>
      </c>
      <c r="Z60" s="69">
        <f t="shared" si="19"/>
        <v>0</v>
      </c>
      <c r="AA60" s="69">
        <f t="shared" si="20"/>
        <v>0</v>
      </c>
      <c r="AB60" s="69" t="str">
        <f t="shared" si="21"/>
        <v>Nên mô tả rõ thêm về các main-flowCân nhắc tính năng ứng dụng AI vào đề tài vì đề tài không có tính mới, ghi nhận hành trình, tổng km lái thật, học thật,…., điều này cũng trùng khớp với quy định học lái oto00</v>
      </c>
    </row>
    <row r="61" spans="1:28" s="69" customFormat="1" ht="15.5">
      <c r="A61" s="111">
        <v>61</v>
      </c>
      <c r="B61" s="112" t="s">
        <v>297</v>
      </c>
      <c r="C61" s="117"/>
      <c r="D61" s="117"/>
      <c r="E61" s="112" t="s">
        <v>53</v>
      </c>
      <c r="F61" s="112"/>
      <c r="G61" s="112"/>
      <c r="H61" s="114"/>
      <c r="I61" s="115">
        <v>1</v>
      </c>
      <c r="J61" s="71" t="s">
        <v>221</v>
      </c>
      <c r="K61" s="71" t="s">
        <v>225</v>
      </c>
      <c r="L61" s="72"/>
      <c r="M61" s="70" t="b">
        <f t="shared" si="11"/>
        <v>0</v>
      </c>
      <c r="N61" s="116" t="str" cm="1">
        <f t="array" ref="N61">_xlfn.IFS(J61="TaiNT51",T61,J61="HuongNTC2",U61,J61="KhanhKT",V61,J61="PhuongLHK",W61)</f>
        <v>Pass</v>
      </c>
      <c r="O61" s="116" t="str" cm="1">
        <f t="array" ref="O61">_xlfn.IFS(K61="TaiNT51",T61,K61="HuongNTC2",U61,K61="KhanhKT",V61,K61="PhuongLHK",W61)</f>
        <v>Consider</v>
      </c>
      <c r="P61" s="70" cm="1">
        <f t="array" ref="P61">_xlfn.IFS(N61="Pass",1,N61="Not Pass",-1,N61="Consider",0)+_xlfn.IFS(O61="Pass",1,O61="Not Pass",-1,O61="Consider",0)</f>
        <v>1</v>
      </c>
      <c r="Q61" s="116" t="str">
        <f t="shared" si="12"/>
        <v/>
      </c>
      <c r="R61" s="70" cm="1">
        <f t="array" ref="R61">P61+_xlfn.IFS(Q61="Pass",1,Q61="Not Pass",-1,TRUE,0)</f>
        <v>1</v>
      </c>
      <c r="S61" s="116" t="str" cm="1">
        <f t="array" ref="S61">_xlfn.IFS(R61&gt;0,"Pass",R61=0,"Consider",R61&lt;0,"Not Pass")</f>
        <v>Pass</v>
      </c>
      <c r="T61" s="69" t="str">
        <f t="shared" si="13"/>
        <v>Pass</v>
      </c>
      <c r="U61" s="69" t="str">
        <f t="shared" si="14"/>
        <v>Consider</v>
      </c>
      <c r="V61" s="69">
        <f t="shared" si="15"/>
        <v>0</v>
      </c>
      <c r="W61" s="69">
        <f t="shared" si="16"/>
        <v>0</v>
      </c>
      <c r="X61" s="69" t="str">
        <f t="shared" si="17"/>
        <v>Nên mô tả rõ thêm về các main-flow</v>
      </c>
      <c r="Y61" s="69" t="str">
        <f t="shared" si="18"/>
        <v>Scope hơi rộng vì Giáo dục công nghệ phần mềm có nội dung, kiến thức liên quan</v>
      </c>
      <c r="Z61" s="69">
        <f t="shared" si="19"/>
        <v>0</v>
      </c>
      <c r="AA61" s="69">
        <f t="shared" si="20"/>
        <v>0</v>
      </c>
      <c r="AB61" s="69" t="str">
        <f t="shared" si="21"/>
        <v>Nên mô tả rõ thêm về các main-flowScope hơi rộng vì Giáo dục công nghệ phần mềm có nội dung, kiến thức liên quan00</v>
      </c>
    </row>
    <row r="62" spans="1:28" s="69" customFormat="1" ht="15.5">
      <c r="A62" s="111">
        <v>62</v>
      </c>
      <c r="B62" s="112" t="s">
        <v>298</v>
      </c>
      <c r="C62" s="117"/>
      <c r="D62" s="117"/>
      <c r="E62" s="112" t="s">
        <v>53</v>
      </c>
      <c r="F62" s="112"/>
      <c r="G62" s="112"/>
      <c r="H62" s="114"/>
      <c r="I62" s="115">
        <v>1</v>
      </c>
      <c r="J62" s="71" t="s">
        <v>221</v>
      </c>
      <c r="K62" s="71" t="s">
        <v>225</v>
      </c>
      <c r="L62" s="72"/>
      <c r="M62" s="70" t="b">
        <f t="shared" si="11"/>
        <v>0</v>
      </c>
      <c r="N62" s="116" t="str" cm="1">
        <f t="array" ref="N62">_xlfn.IFS(J62="TaiNT51",T62,J62="HuongNTC2",U62,J62="KhanhKT",V62,J62="PhuongLHK",W62)</f>
        <v>Pass</v>
      </c>
      <c r="O62" s="116" t="str" cm="1">
        <f t="array" ref="O62">_xlfn.IFS(K62="TaiNT51",T62,K62="HuongNTC2",U62,K62="KhanhKT",V62,K62="PhuongLHK",W62)</f>
        <v>Consider</v>
      </c>
      <c r="P62" s="70" cm="1">
        <f t="array" ref="P62">_xlfn.IFS(N62="Pass",1,N62="Not Pass",-1,N62="Consider",0)+_xlfn.IFS(O62="Pass",1,O62="Not Pass",-1,O62="Consider",0)</f>
        <v>1</v>
      </c>
      <c r="Q62" s="116" t="str">
        <f t="shared" si="12"/>
        <v/>
      </c>
      <c r="R62" s="70" cm="1">
        <f t="array" ref="R62">P62+_xlfn.IFS(Q62="Pass",1,Q62="Not Pass",-1,TRUE,0)</f>
        <v>1</v>
      </c>
      <c r="S62" s="116" t="str" cm="1">
        <f t="array" ref="S62">_xlfn.IFS(R62&gt;0,"Pass",R62=0,"Consider",R62&lt;0,"Not Pass")</f>
        <v>Pass</v>
      </c>
      <c r="T62" s="69" t="str">
        <f t="shared" si="13"/>
        <v>Pass</v>
      </c>
      <c r="U62" s="69" t="str">
        <f t="shared" si="14"/>
        <v>Consider</v>
      </c>
      <c r="V62" s="69">
        <f t="shared" si="15"/>
        <v>0</v>
      </c>
      <c r="W62" s="69">
        <f t="shared" si="16"/>
        <v>0</v>
      </c>
      <c r="X62" s="69" t="str">
        <f t="shared" si="17"/>
        <v>Nên mô tả rõ thêm về các main-flow</v>
      </c>
      <c r="Y62" s="69" t="str">
        <f t="shared" si="18"/>
        <v>Đề tài chưa nêu rõ cách ghi nhận video của hệ thống</v>
      </c>
      <c r="Z62" s="69">
        <f t="shared" si="19"/>
        <v>0</v>
      </c>
      <c r="AA62" s="69">
        <f t="shared" si="20"/>
        <v>0</v>
      </c>
      <c r="AB62" s="69" t="str">
        <f t="shared" si="21"/>
        <v>Nên mô tả rõ thêm về các main-flowĐề tài chưa nêu rõ cách ghi nhận video của hệ thống00</v>
      </c>
    </row>
    <row r="63" spans="1:28" s="69" customFormat="1" ht="31.5" customHeight="1">
      <c r="A63" s="111">
        <v>63</v>
      </c>
      <c r="B63" s="112" t="s">
        <v>299</v>
      </c>
      <c r="C63" s="117"/>
      <c r="D63" s="117"/>
      <c r="E63" s="112" t="s">
        <v>53</v>
      </c>
      <c r="F63" s="112"/>
      <c r="G63" s="112"/>
      <c r="H63" s="114"/>
      <c r="I63" s="115">
        <v>1</v>
      </c>
      <c r="J63" s="71" t="s">
        <v>221</v>
      </c>
      <c r="K63" s="71" t="s">
        <v>19</v>
      </c>
      <c r="L63" s="72"/>
      <c r="M63" s="70" t="b">
        <f t="shared" si="11"/>
        <v>0</v>
      </c>
      <c r="N63" s="116" t="str" cm="1">
        <f t="array" ref="N63">_xlfn.IFS(J63="TaiNT51",T63,J63="HuongNTC2",U63,J63="KhanhKT",V63,J63="PhuongLHK",W63)</f>
        <v>Pass</v>
      </c>
      <c r="O63" s="116" t="str" cm="1">
        <f t="array" ref="O63">_xlfn.IFS(K63="TaiNT51",T63,K63="HuongNTC2",U63,K63="KhanhKT",V63,K63="PhuongLHK",W63)</f>
        <v>Pass</v>
      </c>
      <c r="P63" s="70" cm="1">
        <f t="array" ref="P63">_xlfn.IFS(N63="Pass",1,N63="Not Pass",-1,N63="Consider",0)+_xlfn.IFS(O63="Pass",1,O63="Not Pass",-1,O63="Consider",0)</f>
        <v>2</v>
      </c>
      <c r="Q63" s="116" t="str">
        <f t="shared" si="12"/>
        <v/>
      </c>
      <c r="R63" s="70" cm="1">
        <f t="array" ref="R63">P63+_xlfn.IFS(Q63="Pass",1,Q63="Not Pass",-1,TRUE,0)</f>
        <v>2</v>
      </c>
      <c r="S63" s="116" t="str" cm="1">
        <f t="array" ref="S63">_xlfn.IFS(R63&gt;0,"Pass",R63=0,"Consider",R63&lt;0,"Not Pass")</f>
        <v>Pass</v>
      </c>
      <c r="T63" s="69" t="str">
        <f t="shared" si="13"/>
        <v>Pass</v>
      </c>
      <c r="U63" s="69">
        <f t="shared" si="14"/>
        <v>0</v>
      </c>
      <c r="V63" s="69">
        <f t="shared" si="15"/>
        <v>0</v>
      </c>
      <c r="W63" s="69" t="str">
        <f t="shared" si="16"/>
        <v>Pass</v>
      </c>
      <c r="X63" s="69" t="str">
        <f t="shared" si="17"/>
        <v>Nên mô tả rõ thêm về các main-flow</v>
      </c>
      <c r="Y63" s="69">
        <f t="shared" si="18"/>
        <v>0</v>
      </c>
      <c r="Z63" s="69">
        <f t="shared" si="19"/>
        <v>0</v>
      </c>
      <c r="AA63" s="69">
        <f t="shared" si="20"/>
        <v>0</v>
      </c>
      <c r="AB63" s="69" t="str">
        <f t="shared" si="21"/>
        <v>Nên mô tả rõ thêm về các main-flow000</v>
      </c>
    </row>
    <row r="64" spans="1:28" s="69" customFormat="1" ht="31.5" customHeight="1">
      <c r="A64" s="111">
        <v>64</v>
      </c>
      <c r="B64" s="112" t="s">
        <v>300</v>
      </c>
      <c r="C64" s="117"/>
      <c r="D64" s="117"/>
      <c r="E64" s="112" t="s">
        <v>53</v>
      </c>
      <c r="F64" s="112"/>
      <c r="G64" s="112"/>
      <c r="H64" s="114"/>
      <c r="I64" s="115">
        <v>1</v>
      </c>
      <c r="J64" s="71" t="s">
        <v>221</v>
      </c>
      <c r="K64" s="71" t="s">
        <v>19</v>
      </c>
      <c r="L64" s="72"/>
      <c r="M64" s="70" t="b">
        <f t="shared" si="11"/>
        <v>0</v>
      </c>
      <c r="N64" s="116" t="str" cm="1">
        <f t="array" ref="N64">_xlfn.IFS(J64="TaiNT51",T64,J64="HuongNTC2",U64,J64="KhanhKT",V64,J64="PhuongLHK",W64)</f>
        <v>Pass</v>
      </c>
      <c r="O64" s="116" t="str" cm="1">
        <f t="array" ref="O64">_xlfn.IFS(K64="TaiNT51",T64,K64="HuongNTC2",U64,K64="KhanhKT",V64,K64="PhuongLHK",W64)</f>
        <v>Pass</v>
      </c>
      <c r="P64" s="70" cm="1">
        <f t="array" ref="P64">_xlfn.IFS(N64="Pass",1,N64="Not Pass",-1,N64="Consider",0)+_xlfn.IFS(O64="Pass",1,O64="Not Pass",-1,O64="Consider",0)</f>
        <v>2</v>
      </c>
      <c r="Q64" s="116" t="str">
        <f t="shared" si="12"/>
        <v/>
      </c>
      <c r="R64" s="70" cm="1">
        <f t="array" ref="R64">P64+_xlfn.IFS(Q64="Pass",1,Q64="Not Pass",-1,TRUE,0)</f>
        <v>2</v>
      </c>
      <c r="S64" s="116" t="str" cm="1">
        <f t="array" ref="S64">_xlfn.IFS(R64&gt;0,"Pass",R64=0,"Consider",R64&lt;0,"Not Pass")</f>
        <v>Pass</v>
      </c>
      <c r="T64" s="69" t="str">
        <f t="shared" si="13"/>
        <v>Pass</v>
      </c>
      <c r="U64" s="69">
        <f t="shared" si="14"/>
        <v>0</v>
      </c>
      <c r="V64" s="69">
        <f t="shared" si="15"/>
        <v>0</v>
      </c>
      <c r="W64" s="69" t="str">
        <f t="shared" si="16"/>
        <v>Pass</v>
      </c>
      <c r="X64" s="69" t="str">
        <f t="shared" si="17"/>
        <v>Nên mô tả rõ thêm về các main-flow</v>
      </c>
      <c r="Y64" s="69">
        <f t="shared" si="18"/>
        <v>0</v>
      </c>
      <c r="Z64" s="69">
        <f t="shared" si="19"/>
        <v>0</v>
      </c>
      <c r="AA64" s="69">
        <f t="shared" si="20"/>
        <v>0</v>
      </c>
      <c r="AB64" s="69" t="str">
        <f t="shared" si="21"/>
        <v>Nên mô tả rõ thêm về các main-flow000</v>
      </c>
    </row>
    <row r="65" spans="1:28" s="69" customFormat="1" ht="15.5">
      <c r="A65" s="111">
        <v>65</v>
      </c>
      <c r="B65" s="112" t="s">
        <v>301</v>
      </c>
      <c r="C65" s="117"/>
      <c r="D65" s="117"/>
      <c r="E65" s="112" t="s">
        <v>53</v>
      </c>
      <c r="F65" s="112"/>
      <c r="G65" s="112"/>
      <c r="H65" s="114"/>
      <c r="I65" s="115">
        <v>1</v>
      </c>
      <c r="J65" s="71" t="s">
        <v>221</v>
      </c>
      <c r="K65" s="71" t="s">
        <v>16</v>
      </c>
      <c r="L65" s="72"/>
      <c r="M65" s="70" t="b">
        <f t="shared" si="11"/>
        <v>0</v>
      </c>
      <c r="N65" s="116" t="str" cm="1">
        <f t="array" ref="N65">_xlfn.IFS(J65="TaiNT51",T65,J65="HuongNTC2",U65,J65="KhanhKT",V65,J65="PhuongLHK",W65)</f>
        <v>Consider</v>
      </c>
      <c r="O65" s="116" t="str" cm="1">
        <f t="array" ref="O65">_xlfn.IFS(K65="TaiNT51",T65,K65="HuongNTC2",U65,K65="KhanhKT",V65,K65="PhuongLHK",W65)</f>
        <v>Not Pass</v>
      </c>
      <c r="P65" s="70" cm="1">
        <f t="array" ref="P65">_xlfn.IFS(N65="Pass",1,N65="Not Pass",-1,N65="Consider",0)+_xlfn.IFS(O65="Pass",1,O65="Not Pass",-1,O65="Consider",0)</f>
        <v>-1</v>
      </c>
      <c r="Q65" s="116" t="str">
        <f t="shared" si="12"/>
        <v/>
      </c>
      <c r="R65" s="70" cm="1">
        <f t="array" ref="R65">P65+_xlfn.IFS(Q65="Pass",1,Q65="Not Pass",-1,TRUE,0)</f>
        <v>-1</v>
      </c>
      <c r="S65" s="116" t="str" cm="1">
        <f t="array" ref="S65">_xlfn.IFS(R65&gt;0,"Pass",R65=0,"Consider",R65&lt;0,"Not Pass")</f>
        <v>Not Pass</v>
      </c>
      <c r="T65" s="69" t="str">
        <f t="shared" si="13"/>
        <v>Consider</v>
      </c>
      <c r="U65" s="69">
        <f t="shared" si="14"/>
        <v>0</v>
      </c>
      <c r="V65" s="69" t="str">
        <f t="shared" si="15"/>
        <v>Not Pass</v>
      </c>
      <c r="W65" s="69">
        <f t="shared" si="16"/>
        <v>0</v>
      </c>
      <c r="X65" s="69" t="str">
        <f t="shared" si="17"/>
        <v>Cần mô tả rõ thêm về các main-flow</v>
      </c>
      <c r="Y65" s="69">
        <f t="shared" si="18"/>
        <v>0</v>
      </c>
      <c r="Z65" s="69" t="str">
        <f t="shared" si="19"/>
        <v>- Đề tài này đã được làm và bảo vệ thành công với nhiều nhóm do vậy không nên thay đổi nội dung và làm đề tài --&gt; rất khó để kiểm tra vì việc thay thế hàng loạt rất dễ xảy ra</v>
      </c>
      <c r="AA65" s="69">
        <f t="shared" si="20"/>
        <v>0</v>
      </c>
      <c r="AB65" s="69" t="str">
        <f t="shared" si="21"/>
        <v>Cần mô tả rõ thêm về các main-flow0- Đề tài này đã được làm và bảo vệ thành công với nhiều nhóm do vậy không nên thay đổi nội dung và làm đề tài --&gt; rất khó để kiểm tra vì việc thay thế hàng loạt rất dễ xảy ra0</v>
      </c>
    </row>
    <row r="66" spans="1:28" s="69" customFormat="1" ht="15.5">
      <c r="A66" s="111">
        <v>66</v>
      </c>
      <c r="B66" s="112" t="s">
        <v>302</v>
      </c>
      <c r="C66" s="117"/>
      <c r="D66" s="117"/>
      <c r="E66" s="112" t="s">
        <v>53</v>
      </c>
      <c r="F66" s="112"/>
      <c r="G66" s="112"/>
      <c r="H66" s="114"/>
      <c r="I66" s="115">
        <v>1</v>
      </c>
      <c r="J66" s="71" t="s">
        <v>221</v>
      </c>
      <c r="K66" s="71" t="s">
        <v>19</v>
      </c>
      <c r="L66" s="72"/>
      <c r="M66" s="70" t="b">
        <f t="shared" si="11"/>
        <v>0</v>
      </c>
      <c r="N66" s="116" t="str" cm="1">
        <f t="array" ref="N66">_xlfn.IFS(J66="TaiNT51",T66,J66="HuongNTC2",U66,J66="KhanhKT",V66,J66="PhuongLHK",W66)</f>
        <v>Consider</v>
      </c>
      <c r="O66" s="116" t="str" cm="1">
        <f t="array" ref="O66">_xlfn.IFS(K66="TaiNT51",T66,K66="HuongNTC2",U66,K66="KhanhKT",V66,K66="PhuongLHK",W66)</f>
        <v>Not Pass</v>
      </c>
      <c r="P66" s="70" cm="1">
        <f t="array" ref="P66">_xlfn.IFS(N66="Pass",1,N66="Not Pass",-1,N66="Consider",0)+_xlfn.IFS(O66="Pass",1,O66="Not Pass",-1,O66="Consider",0)</f>
        <v>-1</v>
      </c>
      <c r="Q66" s="116" t="str">
        <f t="shared" si="12"/>
        <v/>
      </c>
      <c r="R66" s="70" cm="1">
        <f t="array" ref="R66">P66+_xlfn.IFS(Q66="Pass",1,Q66="Not Pass",-1,TRUE,0)</f>
        <v>-1</v>
      </c>
      <c r="S66" s="116" t="str" cm="1">
        <f t="array" ref="S66">_xlfn.IFS(R66&gt;0,"Pass",R66=0,"Consider",R66&lt;0,"Not Pass")</f>
        <v>Not Pass</v>
      </c>
      <c r="T66" s="69" t="str">
        <f t="shared" si="13"/>
        <v>Consider</v>
      </c>
      <c r="U66" s="69">
        <f t="shared" si="14"/>
        <v>0</v>
      </c>
      <c r="V66" s="69">
        <f t="shared" si="15"/>
        <v>0</v>
      </c>
      <c r="W66" s="69" t="str">
        <f t="shared" si="16"/>
        <v>Not Pass</v>
      </c>
      <c r="X66" s="69" t="str">
        <f t="shared" si="17"/>
        <v>Cần mô tả rõ thêm về các main-flow và phạm vi khá chung chung</v>
      </c>
      <c r="Y66" s="69">
        <f t="shared" si="18"/>
        <v>0</v>
      </c>
      <c r="Z66" s="69">
        <f t="shared" si="19"/>
        <v>0</v>
      </c>
      <c r="AA66" s="69">
        <f t="shared" si="20"/>
        <v>0</v>
      </c>
      <c r="AB66" s="69" t="str">
        <f t="shared" si="21"/>
        <v>Cần mô tả rõ thêm về các main-flow và phạm vi khá chung chung000</v>
      </c>
    </row>
    <row r="67" spans="1:28" s="69" customFormat="1" ht="15.5">
      <c r="A67" s="111">
        <v>67</v>
      </c>
      <c r="B67" s="112" t="s">
        <v>303</v>
      </c>
      <c r="C67" s="117"/>
      <c r="D67" s="117"/>
      <c r="E67" s="112" t="s">
        <v>53</v>
      </c>
      <c r="F67" s="112"/>
      <c r="G67" s="112"/>
      <c r="H67" s="114"/>
      <c r="I67" s="115">
        <v>1</v>
      </c>
      <c r="J67" s="71" t="s">
        <v>221</v>
      </c>
      <c r="K67" s="71" t="s">
        <v>19</v>
      </c>
      <c r="L67" s="72"/>
      <c r="M67" s="70" t="b">
        <f t="shared" ref="M67:M74" si="22">OR(J67=G67,J67=H67,K67=G67,K67=H67)</f>
        <v>0</v>
      </c>
      <c r="N67" s="116" t="str" cm="1">
        <f t="array" ref="N67">_xlfn.IFS(J67="TaiNT51",T67,J67="HuongNTC2",U67,J67="KhanhKT",V67,J67="PhuongLHK",W67)</f>
        <v>Pass</v>
      </c>
      <c r="O67" s="116" t="str" cm="1">
        <f t="array" ref="O67">_xlfn.IFS(K67="TaiNT51",T67,K67="HuongNTC2",U67,K67="KhanhKT",V67,K67="PhuongLHK",W67)</f>
        <v>Pass</v>
      </c>
      <c r="P67" s="70" cm="1">
        <f t="array" ref="P67">_xlfn.IFS(N67="Pass",1,N67="Not Pass",-1,N67="Consider",0)+_xlfn.IFS(O67="Pass",1,O67="Not Pass",-1,O67="Consider",0)</f>
        <v>2</v>
      </c>
      <c r="Q67" s="116" t="str">
        <f t="shared" ref="Q67:Q74" si="23">IF(ISBLANK(L67),"",HLOOKUP(L67,result_table_full,ROW()-1))</f>
        <v/>
      </c>
      <c r="R67" s="70" cm="1">
        <f t="array" ref="R67">P67+_xlfn.IFS(Q67="Pass",1,Q67="Not Pass",-1,TRUE,0)</f>
        <v>2</v>
      </c>
      <c r="S67" s="116" t="str" cm="1">
        <f t="array" ref="S67">_xlfn.IFS(R67&gt;0,"Pass",R67=0,"Consider",R67&lt;0,"Not Pass")</f>
        <v>Pass</v>
      </c>
      <c r="T67" s="69" t="str">
        <f t="shared" ref="T67:T74" si="24">HLOOKUP(B67,reviewer1_result,12)</f>
        <v>Pass</v>
      </c>
      <c r="U67" s="69">
        <f t="shared" ref="U67:U74" si="25">HLOOKUP(B67,reviewer2_result,12)</f>
        <v>0</v>
      </c>
      <c r="V67" s="69">
        <f t="shared" ref="V67:V74" si="26">HLOOKUP(B67,reviewer3_result,12)</f>
        <v>0</v>
      </c>
      <c r="W67" s="69" t="str">
        <f t="shared" ref="W67:W74" si="27">HLOOKUP(B67,reviewer4_result,12)</f>
        <v>Pass</v>
      </c>
      <c r="X67" s="69" t="str">
        <f t="shared" ref="X67:X74" si="28">HLOOKUP(B67,reviewer1_result,13)</f>
        <v>Nên mô tả rõ thêm về các main-flow</v>
      </c>
      <c r="Y67" s="69">
        <f t="shared" ref="Y67:Y74" si="29">HLOOKUP($B67,reviewer2_result,13)</f>
        <v>0</v>
      </c>
      <c r="Z67" s="69">
        <f t="shared" ref="Z67:Z74" si="30">HLOOKUP($B67,reviewer3_result,13)</f>
        <v>0</v>
      </c>
      <c r="AA67" s="69">
        <f t="shared" ref="AA67:AA74" si="31">HLOOKUP($B67,reviewer4_result,13)</f>
        <v>0</v>
      </c>
      <c r="AB67" s="69" t="str">
        <f t="shared" ref="AB67:AB98" si="32">X67&amp;Y67&amp;Z67&amp;AA67</f>
        <v>Nên mô tả rõ thêm về các main-flow000</v>
      </c>
    </row>
    <row r="68" spans="1:28" s="69" customFormat="1" ht="15.5">
      <c r="A68" s="111">
        <v>68</v>
      </c>
      <c r="B68" s="112" t="s">
        <v>304</v>
      </c>
      <c r="C68" s="117"/>
      <c r="D68" s="117"/>
      <c r="E68" s="112" t="s">
        <v>51</v>
      </c>
      <c r="F68" s="112"/>
      <c r="G68" s="112"/>
      <c r="H68" s="114"/>
      <c r="I68" s="115">
        <v>1</v>
      </c>
      <c r="J68" s="71" t="s">
        <v>225</v>
      </c>
      <c r="K68" s="71" t="s">
        <v>19</v>
      </c>
      <c r="L68" s="72"/>
      <c r="M68" s="70" t="b">
        <f t="shared" si="22"/>
        <v>0</v>
      </c>
      <c r="N68" s="116" t="str" cm="1">
        <f t="array" ref="N68">_xlfn.IFS(J68="TaiNT51",T68,J68="HuongNTC2",U68,J68="KhanhKT",V68,J68="PhuongLHK",W68)</f>
        <v>Not Pass</v>
      </c>
      <c r="O68" s="116" t="str" cm="1">
        <f t="array" ref="O68">_xlfn.IFS(K68="TaiNT51",T68,K68="HuongNTC2",U68,K68="KhanhKT",V68,K68="PhuongLHK",W68)</f>
        <v>Not Pass</v>
      </c>
      <c r="P68" s="70" cm="1">
        <f t="array" ref="P68">_xlfn.IFS(N68="Pass",1,N68="Not Pass",-1,N68="Consider",0)+_xlfn.IFS(O68="Pass",1,O68="Not Pass",-1,O68="Consider",0)</f>
        <v>-2</v>
      </c>
      <c r="Q68" s="116" t="str">
        <f t="shared" si="23"/>
        <v/>
      </c>
      <c r="R68" s="70" cm="1">
        <f t="array" ref="R68">P68+_xlfn.IFS(Q68="Pass",1,Q68="Not Pass",-1,TRUE,0)</f>
        <v>-2</v>
      </c>
      <c r="S68" s="116" t="str" cm="1">
        <f t="array" ref="S68">_xlfn.IFS(R68&gt;0,"Pass",R68=0,"Consider",R68&lt;0,"Not Pass")</f>
        <v>Not Pass</v>
      </c>
      <c r="T68" s="69">
        <f t="shared" si="24"/>
        <v>0</v>
      </c>
      <c r="U68" s="69" t="str">
        <f t="shared" si="25"/>
        <v>Not Pass</v>
      </c>
      <c r="V68" s="69">
        <f t="shared" si="26"/>
        <v>0</v>
      </c>
      <c r="W68" s="69" t="str">
        <f t="shared" si="27"/>
        <v>Not Pass</v>
      </c>
      <c r="X68" s="69">
        <f t="shared" si="28"/>
        <v>0</v>
      </c>
      <c r="Y68" s="69" t="str">
        <f t="shared" si="29"/>
        <v>không tìm thấy 075</v>
      </c>
      <c r="Z68" s="69">
        <f t="shared" si="30"/>
        <v>0</v>
      </c>
      <c r="AA68" s="69">
        <f t="shared" si="31"/>
        <v>0</v>
      </c>
      <c r="AB68" s="69" t="str">
        <f t="shared" si="32"/>
        <v>0không tìm thấy 07500</v>
      </c>
    </row>
    <row r="69" spans="1:28" s="69" customFormat="1" ht="15.5">
      <c r="A69" s="111">
        <v>69</v>
      </c>
      <c r="B69" s="112" t="s">
        <v>305</v>
      </c>
      <c r="C69" s="117"/>
      <c r="D69" s="117"/>
      <c r="E69" s="112" t="s">
        <v>51</v>
      </c>
      <c r="F69" s="112"/>
      <c r="G69" s="112"/>
      <c r="H69" s="112" t="s">
        <v>306</v>
      </c>
      <c r="I69" s="115">
        <v>1</v>
      </c>
      <c r="J69" s="71" t="s">
        <v>225</v>
      </c>
      <c r="K69" s="71" t="s">
        <v>16</v>
      </c>
      <c r="L69" s="72"/>
      <c r="M69" s="70" t="b">
        <f t="shared" si="22"/>
        <v>0</v>
      </c>
      <c r="N69" s="116" t="str" cm="1">
        <f t="array" ref="N69">_xlfn.IFS(J69="TaiNT51",T69,J69="HuongNTC2",U69,J69="KhanhKT",V69,J69="PhuongLHK",W69)</f>
        <v>Not Pass</v>
      </c>
      <c r="O69" s="116" t="str" cm="1">
        <f t="array" ref="O69">_xlfn.IFS(K69="TaiNT51",T69,K69="HuongNTC2",U69,K69="KhanhKT",V69,K69="PhuongLHK",W69)</f>
        <v>Not Pass</v>
      </c>
      <c r="P69" s="70" cm="1">
        <f t="array" ref="P69">_xlfn.IFS(N69="Pass",1,N69="Not Pass",-1,N69="Consider",0)+_xlfn.IFS(O69="Pass",1,O69="Not Pass",-1,O69="Consider",0)</f>
        <v>-2</v>
      </c>
      <c r="Q69" s="116" t="str">
        <f t="shared" si="23"/>
        <v/>
      </c>
      <c r="R69" s="70" cm="1">
        <f t="array" ref="R69">P69+_xlfn.IFS(Q69="Pass",1,Q69="Not Pass",-1,TRUE,0)</f>
        <v>-2</v>
      </c>
      <c r="S69" s="116" t="str" cm="1">
        <f t="array" ref="S69">_xlfn.IFS(R69&gt;0,"Pass",R69=0,"Consider",R69&lt;0,"Not Pass")</f>
        <v>Not Pass</v>
      </c>
      <c r="T69" s="69">
        <f t="shared" si="24"/>
        <v>0</v>
      </c>
      <c r="U69" s="69" t="str">
        <f t="shared" si="25"/>
        <v>Not Pass</v>
      </c>
      <c r="V69" s="69" t="str">
        <f t="shared" si="26"/>
        <v>Not Pass</v>
      </c>
      <c r="W69" s="69">
        <f t="shared" si="27"/>
        <v>0</v>
      </c>
      <c r="X69" s="69">
        <f t="shared" si="28"/>
        <v>0</v>
      </c>
      <c r="Y69" s="69" t="str">
        <f t="shared" si="29"/>
        <v>không tìm thấy 076</v>
      </c>
      <c r="Z69" s="69" t="str">
        <f t="shared" si="30"/>
        <v>- Đề tài không có file đặc tả</v>
      </c>
      <c r="AA69" s="69">
        <f t="shared" si="31"/>
        <v>0</v>
      </c>
      <c r="AB69" s="69" t="str">
        <f t="shared" si="32"/>
        <v>0không tìm thấy 076- Đề tài không có file đặc tả0</v>
      </c>
    </row>
    <row r="70" spans="1:28" s="69" customFormat="1" ht="15.5">
      <c r="A70" s="111">
        <v>70</v>
      </c>
      <c r="B70" s="112" t="s">
        <v>307</v>
      </c>
      <c r="C70" s="117"/>
      <c r="D70" s="117"/>
      <c r="E70" s="112" t="s">
        <v>53</v>
      </c>
      <c r="F70" s="112"/>
      <c r="G70" s="112"/>
      <c r="H70" s="114"/>
      <c r="I70" s="115">
        <v>1</v>
      </c>
      <c r="J70" s="71" t="s">
        <v>16</v>
      </c>
      <c r="K70" s="71" t="s">
        <v>221</v>
      </c>
      <c r="L70" s="72" t="s">
        <v>19</v>
      </c>
      <c r="M70" s="70" t="b">
        <f t="shared" si="22"/>
        <v>0</v>
      </c>
      <c r="N70" s="116" t="str" cm="1">
        <f t="array" ref="N70">_xlfn.IFS(J70="TaiNT51",T70,J70="HuongNTC2",U70,J70="KhanhKT",V70,J70="PhuongLHK",W70)</f>
        <v>Not Pass</v>
      </c>
      <c r="O70" s="116" t="str" cm="1">
        <f t="array" ref="O70">_xlfn.IFS(K70="TaiNT51",T70,K70="HuongNTC2",U70,K70="KhanhKT",V70,K70="PhuongLHK",W70)</f>
        <v>Pass</v>
      </c>
      <c r="P70" s="70" cm="1">
        <f t="array" ref="P70">_xlfn.IFS(N70="Pass",1,N70="Not Pass",-1,N70="Consider",0)+_xlfn.IFS(O70="Pass",1,O70="Not Pass",-1,O70="Consider",0)</f>
        <v>0</v>
      </c>
      <c r="Q70" s="116" t="str">
        <f t="shared" si="23"/>
        <v>Pass</v>
      </c>
      <c r="R70" s="70" cm="1">
        <f t="array" ref="R70">P70+_xlfn.IFS(Q70="Pass",1,Q70="Not Pass",-1,TRUE,0)</f>
        <v>1</v>
      </c>
      <c r="S70" s="116" t="str" cm="1">
        <f t="array" ref="S70">_xlfn.IFS(R70&gt;0,"Pass",R70=0,"Consider",R70&lt;0,"Not Pass")</f>
        <v>Pass</v>
      </c>
      <c r="T70" s="69" t="str">
        <f t="shared" si="24"/>
        <v>Pass</v>
      </c>
      <c r="U70" s="69">
        <f t="shared" si="25"/>
        <v>0</v>
      </c>
      <c r="V70" s="69" t="str">
        <f t="shared" si="26"/>
        <v>Not Pass</v>
      </c>
      <c r="W70" s="69" t="str">
        <f t="shared" si="27"/>
        <v>Pass</v>
      </c>
      <c r="X70" s="69" t="str">
        <f t="shared" si="28"/>
        <v>Nên mô tả rõ thêm về các main-flow</v>
      </c>
      <c r="Y70" s="69">
        <f t="shared" si="29"/>
        <v>0</v>
      </c>
      <c r="Z70" s="69" t="str">
        <f t="shared" si="30"/>
        <v>- Đề tài quá to với kiến thức và trải nghiệm rộng và đòi hỏi phải có yếu tố thực tế và doanh nghiệp mới khả năng áp dụng và vận dụng kỹ thuật để làm ra sản phẩm theo đặc tả của proposal</v>
      </c>
      <c r="AA70" s="69">
        <f t="shared" si="31"/>
        <v>0</v>
      </c>
      <c r="AB70" s="69" t="str">
        <f t="shared" si="32"/>
        <v>Nên mô tả rõ thêm về các main-flow0- Đề tài quá to với kiến thức và trải nghiệm rộng và đòi hỏi phải có yếu tố thực tế và doanh nghiệp mới khả năng áp dụng và vận dụng kỹ thuật để làm ra sản phẩm theo đặc tả của proposal0</v>
      </c>
    </row>
    <row r="71" spans="1:28" s="69" customFormat="1" ht="15.5">
      <c r="A71" s="111">
        <v>71</v>
      </c>
      <c r="B71" s="112" t="s">
        <v>308</v>
      </c>
      <c r="C71" s="117"/>
      <c r="D71" s="117"/>
      <c r="E71" s="112" t="s">
        <v>53</v>
      </c>
      <c r="F71" s="112"/>
      <c r="G71" s="112"/>
      <c r="H71" s="114"/>
      <c r="I71" s="115">
        <v>1</v>
      </c>
      <c r="J71" s="71" t="s">
        <v>16</v>
      </c>
      <c r="K71" s="71" t="s">
        <v>221</v>
      </c>
      <c r="L71" s="72" t="s">
        <v>19</v>
      </c>
      <c r="M71" s="70" t="b">
        <f t="shared" si="22"/>
        <v>0</v>
      </c>
      <c r="N71" s="116" t="str" cm="1">
        <f t="array" ref="N71">_xlfn.IFS(J71="TaiNT51",T71,J71="HuongNTC2",U71,J71="KhanhKT",V71,J71="PhuongLHK",W71)</f>
        <v>Consider</v>
      </c>
      <c r="O71" s="116" t="str" cm="1">
        <f t="array" ref="O71">_xlfn.IFS(K71="TaiNT51",T71,K71="HuongNTC2",U71,K71="KhanhKT",V71,K71="PhuongLHK",W71)</f>
        <v>Consider</v>
      </c>
      <c r="P71" s="70" cm="1">
        <f t="array" ref="P71">_xlfn.IFS(N71="Pass",1,N71="Not Pass",-1,N71="Consider",0)+_xlfn.IFS(O71="Pass",1,O71="Not Pass",-1,O71="Consider",0)</f>
        <v>0</v>
      </c>
      <c r="Q71" s="116" t="str">
        <f t="shared" si="23"/>
        <v>Not Pass</v>
      </c>
      <c r="R71" s="70" cm="1">
        <f t="array" ref="R71">P71+_xlfn.IFS(Q71="Pass",1,Q71="Not Pass",-1,TRUE,0)</f>
        <v>-1</v>
      </c>
      <c r="S71" s="116" t="str" cm="1">
        <f t="array" ref="S71">_xlfn.IFS(R71&gt;0,"Pass",R71=0,"Consider",R71&lt;0,"Not Pass")</f>
        <v>Not Pass</v>
      </c>
      <c r="T71" s="69" t="str">
        <f t="shared" si="24"/>
        <v>Consider</v>
      </c>
      <c r="U71" s="69">
        <f t="shared" si="25"/>
        <v>0</v>
      </c>
      <c r="V71" s="69" t="str">
        <f t="shared" si="26"/>
        <v>Consider</v>
      </c>
      <c r="W71" s="69" t="str">
        <f t="shared" si="27"/>
        <v>Not Pass</v>
      </c>
      <c r="X71" s="69" t="str">
        <f t="shared" si="28"/>
        <v>Cần mô tả rõ thêm về các main-flow và phạm vi khá chung chung</v>
      </c>
      <c r="Y71" s="69">
        <f t="shared" si="29"/>
        <v>0</v>
      </c>
      <c r="Z71" s="69" t="str">
        <f t="shared" si="30"/>
        <v>- Đề tài mô tả noCode nhưng lại dùng các công nghệ .NET, React …</v>
      </c>
      <c r="AA71" s="69">
        <f t="shared" si="31"/>
        <v>0</v>
      </c>
      <c r="AB71" s="69" t="str">
        <f t="shared" si="32"/>
        <v>Cần mô tả rõ thêm về các main-flow và phạm vi khá chung chung0- Đề tài mô tả noCode nhưng lại dùng các công nghệ .NET, React …0</v>
      </c>
    </row>
    <row r="72" spans="1:28" s="69" customFormat="1" ht="31.5" customHeight="1">
      <c r="A72" s="111">
        <v>72</v>
      </c>
      <c r="B72" s="112" t="s">
        <v>309</v>
      </c>
      <c r="C72" s="117"/>
      <c r="D72" s="118"/>
      <c r="E72" s="112" t="s">
        <v>51</v>
      </c>
      <c r="F72" s="112"/>
      <c r="G72" s="112"/>
      <c r="H72" s="114"/>
      <c r="I72" s="115">
        <v>1</v>
      </c>
      <c r="J72" s="71" t="s">
        <v>225</v>
      </c>
      <c r="K72" s="71" t="s">
        <v>221</v>
      </c>
      <c r="L72" s="72"/>
      <c r="M72" s="70" t="b">
        <f t="shared" si="22"/>
        <v>0</v>
      </c>
      <c r="N72" s="116" t="str" cm="1">
        <f t="array" ref="N72">_xlfn.IFS(J72="TaiNT51",T72,J72="HuongNTC2",U72,J72="KhanhKT",V72,J72="PhuongLHK",W72)</f>
        <v>Pass</v>
      </c>
      <c r="O72" s="116" t="str" cm="1">
        <f t="array" ref="O72">_xlfn.IFS(K72="TaiNT51",T72,K72="HuongNTC2",U72,K72="KhanhKT",V72,K72="PhuongLHK",W72)</f>
        <v>Pass</v>
      </c>
      <c r="P72" s="70" cm="1">
        <f t="array" ref="P72">_xlfn.IFS(N72="Pass",1,N72="Not Pass",-1,N72="Consider",0)+_xlfn.IFS(O72="Pass",1,O72="Not Pass",-1,O72="Consider",0)</f>
        <v>2</v>
      </c>
      <c r="Q72" s="116" t="str">
        <f t="shared" si="23"/>
        <v/>
      </c>
      <c r="R72" s="70" cm="1">
        <f t="array" ref="R72">P72+_xlfn.IFS(Q72="Pass",1,Q72="Not Pass",-1,TRUE,0)</f>
        <v>2</v>
      </c>
      <c r="S72" s="116" t="str" cm="1">
        <f t="array" ref="S72">_xlfn.IFS(R72&gt;0,"Pass",R72=0,"Consider",R72&lt;0,"Not Pass")</f>
        <v>Pass</v>
      </c>
      <c r="T72" s="69" t="str">
        <f t="shared" si="24"/>
        <v>Pass</v>
      </c>
      <c r="U72" s="69" t="str">
        <f t="shared" si="25"/>
        <v>Pass</v>
      </c>
      <c r="V72" s="69">
        <f t="shared" si="26"/>
        <v>0</v>
      </c>
      <c r="W72" s="69">
        <f t="shared" si="27"/>
        <v>0</v>
      </c>
      <c r="X72" s="69">
        <f t="shared" si="28"/>
        <v>0</v>
      </c>
      <c r="Y72" s="69">
        <f t="shared" si="29"/>
        <v>0</v>
      </c>
      <c r="Z72" s="69">
        <f t="shared" si="30"/>
        <v>0</v>
      </c>
      <c r="AA72" s="69">
        <f t="shared" si="31"/>
        <v>0</v>
      </c>
      <c r="AB72" s="69" t="str">
        <f t="shared" si="32"/>
        <v>0000</v>
      </c>
    </row>
    <row r="73" spans="1:28" s="69" customFormat="1" ht="15.5">
      <c r="A73" s="111">
        <v>73</v>
      </c>
      <c r="B73" s="112" t="s">
        <v>310</v>
      </c>
      <c r="C73" s="117"/>
      <c r="D73" s="117"/>
      <c r="E73" s="112" t="s">
        <v>53</v>
      </c>
      <c r="F73" s="112"/>
      <c r="G73" s="112"/>
      <c r="H73" s="114"/>
      <c r="I73" s="115">
        <v>1</v>
      </c>
      <c r="J73" s="71" t="s">
        <v>225</v>
      </c>
      <c r="K73" s="71" t="s">
        <v>221</v>
      </c>
      <c r="L73" s="72"/>
      <c r="M73" s="70" t="b">
        <f t="shared" si="22"/>
        <v>0</v>
      </c>
      <c r="N73" s="116" t="str" cm="1">
        <f t="array" ref="N73">_xlfn.IFS(J73="TaiNT51",T73,J73="HuongNTC2",U73,J73="KhanhKT",V73,J73="PhuongLHK",W73)</f>
        <v>Pass</v>
      </c>
      <c r="O73" s="116" t="str" cm="1">
        <f t="array" ref="O73">_xlfn.IFS(K73="TaiNT51",T73,K73="HuongNTC2",U73,K73="KhanhKT",V73,K73="PhuongLHK",W73)</f>
        <v>Pass</v>
      </c>
      <c r="P73" s="70" cm="1">
        <f t="array" ref="P73">_xlfn.IFS(N73="Pass",1,N73="Not Pass",-1,N73="Consider",0)+_xlfn.IFS(O73="Pass",1,O73="Not Pass",-1,O73="Consider",0)</f>
        <v>2</v>
      </c>
      <c r="Q73" s="116" t="str">
        <f t="shared" si="23"/>
        <v/>
      </c>
      <c r="R73" s="70" cm="1">
        <f t="array" ref="R73">P73+_xlfn.IFS(Q73="Pass",1,Q73="Not Pass",-1,TRUE,0)</f>
        <v>2</v>
      </c>
      <c r="S73" s="116" t="str" cm="1">
        <f t="array" ref="S73">_xlfn.IFS(R73&gt;0,"Pass",R73=0,"Consider",R73&lt;0,"Not Pass")</f>
        <v>Pass</v>
      </c>
      <c r="T73" s="69" t="str">
        <f t="shared" si="24"/>
        <v>Pass</v>
      </c>
      <c r="U73" s="69" t="str">
        <f t="shared" si="25"/>
        <v>Pass</v>
      </c>
      <c r="V73" s="69">
        <f t="shared" si="26"/>
        <v>0</v>
      </c>
      <c r="W73" s="69">
        <f t="shared" si="27"/>
        <v>0</v>
      </c>
      <c r="X73" s="69">
        <f t="shared" si="28"/>
        <v>0</v>
      </c>
      <c r="Y73" s="69">
        <f t="shared" si="29"/>
        <v>0</v>
      </c>
      <c r="Z73" s="69">
        <f t="shared" si="30"/>
        <v>0</v>
      </c>
      <c r="AA73" s="69">
        <f t="shared" si="31"/>
        <v>0</v>
      </c>
      <c r="AB73" s="69" t="str">
        <f t="shared" si="32"/>
        <v>0000</v>
      </c>
    </row>
    <row r="74" spans="1:28" s="69" customFormat="1" ht="15.5">
      <c r="A74" s="111">
        <v>74</v>
      </c>
      <c r="B74" s="112" t="s">
        <v>311</v>
      </c>
      <c r="C74" s="118"/>
      <c r="D74" s="118"/>
      <c r="E74" s="112" t="s">
        <v>53</v>
      </c>
      <c r="F74" s="112"/>
      <c r="G74" s="112"/>
      <c r="H74" s="114"/>
      <c r="I74" s="115">
        <v>1</v>
      </c>
      <c r="J74" s="71" t="s">
        <v>225</v>
      </c>
      <c r="K74" s="71" t="s">
        <v>221</v>
      </c>
      <c r="L74" s="72"/>
      <c r="M74" s="70" t="b">
        <f t="shared" si="22"/>
        <v>0</v>
      </c>
      <c r="N74" s="116" t="str" cm="1">
        <f t="array" ref="N74">_xlfn.IFS(J74="TaiNT51",T74,J74="HuongNTC2",U74,J74="KhanhKT",V74,J74="PhuongLHK",W74)</f>
        <v>Pass</v>
      </c>
      <c r="O74" s="116" t="str" cm="1">
        <f t="array" ref="O74">_xlfn.IFS(K74="TaiNT51",T74,K74="HuongNTC2",U74,K74="KhanhKT",V74,K74="PhuongLHK",W74)</f>
        <v>Pass</v>
      </c>
      <c r="P74" s="70" cm="1">
        <f t="array" ref="P74">_xlfn.IFS(N74="Pass",1,N74="Not Pass",-1,N74="Consider",0)+_xlfn.IFS(O74="Pass",1,O74="Not Pass",-1,O74="Consider",0)</f>
        <v>2</v>
      </c>
      <c r="Q74" s="116" t="str">
        <f t="shared" si="23"/>
        <v/>
      </c>
      <c r="R74" s="70" cm="1">
        <f t="array" ref="R74">P74+_xlfn.IFS(Q74="Pass",1,Q74="Not Pass",-1,TRUE,0)</f>
        <v>2</v>
      </c>
      <c r="S74" s="116" t="str" cm="1">
        <f t="array" ref="S74">_xlfn.IFS(R74&gt;0,"Pass",R74=0,"Consider",R74&lt;0,"Not Pass")</f>
        <v>Pass</v>
      </c>
      <c r="T74" s="69" t="str">
        <f t="shared" si="24"/>
        <v>Pass</v>
      </c>
      <c r="U74" s="69" t="str">
        <f t="shared" si="25"/>
        <v>Pass</v>
      </c>
      <c r="V74" s="69">
        <f t="shared" si="26"/>
        <v>0</v>
      </c>
      <c r="W74" s="69">
        <f t="shared" si="27"/>
        <v>0</v>
      </c>
      <c r="X74" s="69" t="str">
        <f t="shared" si="28"/>
        <v>Nên mô tả rõ thêm về các main-flow</v>
      </c>
      <c r="Y74" s="69">
        <f t="shared" si="29"/>
        <v>0</v>
      </c>
      <c r="Z74" s="69">
        <f t="shared" si="30"/>
        <v>0</v>
      </c>
      <c r="AA74" s="69">
        <f t="shared" si="31"/>
        <v>0</v>
      </c>
      <c r="AB74" s="69" t="str">
        <f t="shared" si="32"/>
        <v>Nên mô tả rõ thêm về các main-flow000</v>
      </c>
    </row>
    <row r="75" spans="1:28">
      <c r="A75" s="5"/>
      <c r="B75" s="5"/>
      <c r="C75" s="5"/>
      <c r="D75" s="5"/>
      <c r="E75" s="5"/>
      <c r="F75" s="127"/>
      <c r="G75" s="4"/>
      <c r="H75" s="4"/>
      <c r="I75" s="4"/>
      <c r="J75" s="58"/>
      <c r="K75" s="58"/>
      <c r="L75" s="4"/>
      <c r="M75" s="4"/>
      <c r="N75" s="4"/>
      <c r="O75" s="4"/>
      <c r="P75" s="4"/>
      <c r="Q75" s="4"/>
      <c r="R75" s="4"/>
      <c r="S75" s="4"/>
    </row>
  </sheetData>
  <autoFilter ref="A2:AB74" xr:uid="{6B0CEEF4-B953-41F5-A941-C8CB62F512A6}">
    <sortState xmlns:xlrd2="http://schemas.microsoft.com/office/spreadsheetml/2017/richdata2" ref="A3:AB74">
      <sortCondition ref="A2:A74"/>
    </sortState>
  </autoFilter>
  <mergeCells count="1">
    <mergeCell ref="B1:H1"/>
  </mergeCells>
  <phoneticPr fontId="23" type="noConversion"/>
  <conditionalFormatting sqref="K3:K56 K57:L74">
    <cfRule type="cellIs" dxfId="8" priority="45" operator="equal">
      <formula>TRUE</formula>
    </cfRule>
    <cfRule type="cellIs" dxfId="7" priority="58" operator="equal">
      <formula>"Pass"</formula>
    </cfRule>
    <cfRule type="cellIs" dxfId="6" priority="59" operator="equal">
      <formula>"Not Pass"</formula>
    </cfRule>
  </conditionalFormatting>
  <conditionalFormatting sqref="M3:S74">
    <cfRule type="cellIs" dxfId="5" priority="8" operator="equal">
      <formula>TRUE</formula>
    </cfRule>
  </conditionalFormatting>
  <conditionalFormatting sqref="N3:Q74 T3:W74">
    <cfRule type="cellIs" dxfId="4" priority="11" operator="equal">
      <formula>"Consider"</formula>
    </cfRule>
  </conditionalFormatting>
  <conditionalFormatting sqref="N3:W74">
    <cfRule type="cellIs" dxfId="3" priority="31" operator="equal">
      <formula>"Not Pass"</formula>
    </cfRule>
    <cfRule type="cellIs" dxfId="2" priority="36" operator="equal">
      <formula>"Pass"</formula>
    </cfRule>
  </conditionalFormatting>
  <conditionalFormatting sqref="P3:P74 R3:S74">
    <cfRule type="cellIs" dxfId="1" priority="10" operator="lessThan">
      <formula>1</formula>
    </cfRule>
  </conditionalFormatting>
  <conditionalFormatting sqref="P3:P74">
    <cfRule type="cellIs" dxfId="0" priority="9" operator="greaterThan">
      <formula>0.5</formula>
    </cfRule>
  </conditionalFormatting>
  <dataValidations count="2">
    <dataValidation allowBlank="1" showErrorMessage="1" sqref="G1:G2 G75:G1048576" xr:uid="{7E3DD1B1-1AC2-4B98-A2F4-9063742C73D4}"/>
    <dataValidation type="list" allowBlank="1" showInputMessage="1" showErrorMessage="1" sqref="N3:P74" xr:uid="{E0AE7D48-550E-40F0-AAEB-180AE494D66D}">
      <formula1>"Pass, Consider, Not Pass"</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7"/>
  <sheetViews>
    <sheetView topLeftCell="A10" zoomScale="112" zoomScaleNormal="112" workbookViewId="0">
      <selection activeCell="E35" sqref="E35"/>
    </sheetView>
  </sheetViews>
  <sheetFormatPr defaultColWidth="8.81640625" defaultRowHeight="14.5"/>
  <cols>
    <col min="2" max="3" width="15.6328125" customWidth="1"/>
    <col min="4" max="4" width="11.1796875" customWidth="1"/>
    <col min="5" max="5" width="8.81640625" style="2" customWidth="1"/>
  </cols>
  <sheetData>
    <row r="1" spans="1:10" ht="20" customHeight="1">
      <c r="A1" s="143" t="s">
        <v>38</v>
      </c>
      <c r="B1" s="143" t="s">
        <v>39</v>
      </c>
      <c r="C1" s="8"/>
      <c r="D1" s="8"/>
      <c r="E1" s="13" t="s">
        <v>40</v>
      </c>
    </row>
    <row r="2" spans="1:10">
      <c r="A2" s="144"/>
      <c r="B2" s="144"/>
      <c r="C2" s="9" t="s">
        <v>50</v>
      </c>
      <c r="D2" s="9" t="s">
        <v>64</v>
      </c>
      <c r="E2" s="3" t="s">
        <v>218</v>
      </c>
      <c r="F2" t="s">
        <v>219</v>
      </c>
      <c r="H2" s="27"/>
      <c r="I2" s="27"/>
      <c r="J2" s="27"/>
    </row>
    <row r="3" spans="1:10">
      <c r="A3" s="1">
        <v>1</v>
      </c>
      <c r="B3" s="1" t="s">
        <v>217</v>
      </c>
      <c r="C3" s="1" t="s">
        <v>52</v>
      </c>
      <c r="D3" s="1"/>
      <c r="E3" s="4"/>
      <c r="I3" s="27"/>
    </row>
    <row r="4" spans="1:10">
      <c r="A4" s="1">
        <v>2</v>
      </c>
      <c r="B4" s="1" t="s">
        <v>49</v>
      </c>
      <c r="C4" s="1" t="s">
        <v>53</v>
      </c>
      <c r="D4" s="1" t="s">
        <v>60</v>
      </c>
      <c r="E4" s="4">
        <f t="shared" ref="E4:E33" si="0">COUNTIF(topic_review0,B4)</f>
        <v>0</v>
      </c>
      <c r="I4" s="27"/>
    </row>
    <row r="5" spans="1:10">
      <c r="A5" s="1">
        <v>3</v>
      </c>
      <c r="B5" s="1" t="s">
        <v>63</v>
      </c>
      <c r="C5" s="1" t="s">
        <v>53</v>
      </c>
      <c r="D5" s="1"/>
      <c r="E5" s="4">
        <f t="shared" si="0"/>
        <v>0</v>
      </c>
      <c r="I5" s="27"/>
    </row>
    <row r="6" spans="1:10">
      <c r="A6" s="1">
        <v>4</v>
      </c>
      <c r="B6" s="1" t="s">
        <v>30</v>
      </c>
      <c r="C6" s="1" t="s">
        <v>51</v>
      </c>
      <c r="D6" s="1"/>
      <c r="E6" s="4">
        <f t="shared" si="0"/>
        <v>0</v>
      </c>
      <c r="I6" s="27"/>
    </row>
    <row r="7" spans="1:10">
      <c r="A7" s="1">
        <v>5</v>
      </c>
      <c r="B7" s="1" t="s">
        <v>29</v>
      </c>
      <c r="C7" s="1" t="s">
        <v>51</v>
      </c>
      <c r="D7" s="1"/>
      <c r="E7" s="4">
        <f t="shared" si="0"/>
        <v>0</v>
      </c>
    </row>
    <row r="8" spans="1:10">
      <c r="A8" s="1">
        <v>6</v>
      </c>
      <c r="B8" s="1" t="s">
        <v>41</v>
      </c>
      <c r="C8" s="1" t="s">
        <v>51</v>
      </c>
      <c r="D8" s="1"/>
      <c r="E8" s="4">
        <f t="shared" si="0"/>
        <v>0</v>
      </c>
    </row>
    <row r="9" spans="1:10">
      <c r="A9" s="1">
        <v>7</v>
      </c>
      <c r="B9" s="1" t="s">
        <v>10</v>
      </c>
      <c r="C9" s="1" t="s">
        <v>53</v>
      </c>
      <c r="D9" s="1"/>
      <c r="E9" s="4">
        <f t="shared" si="0"/>
        <v>0</v>
      </c>
    </row>
    <row r="10" spans="1:10">
      <c r="A10" s="1">
        <v>8</v>
      </c>
      <c r="B10" s="1" t="s">
        <v>47</v>
      </c>
      <c r="C10" s="1" t="s">
        <v>53</v>
      </c>
      <c r="D10" s="1"/>
      <c r="E10" s="4">
        <f t="shared" si="0"/>
        <v>0</v>
      </c>
    </row>
    <row r="11" spans="1:10">
      <c r="A11" s="1">
        <v>9</v>
      </c>
      <c r="B11" s="1" t="s">
        <v>34</v>
      </c>
      <c r="C11" s="1" t="s">
        <v>53</v>
      </c>
      <c r="D11" s="1"/>
      <c r="E11" s="4">
        <f t="shared" si="0"/>
        <v>0</v>
      </c>
    </row>
    <row r="12" spans="1:10">
      <c r="A12" s="1">
        <v>10</v>
      </c>
      <c r="B12" s="1" t="s">
        <v>225</v>
      </c>
      <c r="C12" s="1" t="s">
        <v>53</v>
      </c>
      <c r="D12" s="1"/>
      <c r="E12" s="4">
        <f t="shared" si="0"/>
        <v>37</v>
      </c>
    </row>
    <row r="13" spans="1:10">
      <c r="A13" s="1">
        <v>11</v>
      </c>
      <c r="B13" s="1" t="s">
        <v>16</v>
      </c>
      <c r="C13" s="1" t="s">
        <v>51</v>
      </c>
      <c r="D13" s="1"/>
      <c r="E13" s="4">
        <f t="shared" si="0"/>
        <v>37</v>
      </c>
    </row>
    <row r="14" spans="1:10">
      <c r="A14" s="1">
        <v>12</v>
      </c>
      <c r="B14" s="1" t="s">
        <v>22</v>
      </c>
      <c r="C14" s="1" t="s">
        <v>51</v>
      </c>
      <c r="D14" s="1"/>
      <c r="E14" s="4">
        <f t="shared" si="0"/>
        <v>0</v>
      </c>
    </row>
    <row r="15" spans="1:10">
      <c r="A15" s="1">
        <v>13</v>
      </c>
      <c r="B15" s="1" t="s">
        <v>36</v>
      </c>
      <c r="C15" s="1" t="s">
        <v>53</v>
      </c>
      <c r="D15" s="1"/>
      <c r="E15" s="4">
        <f t="shared" si="0"/>
        <v>0</v>
      </c>
    </row>
    <row r="16" spans="1:10">
      <c r="A16" s="1">
        <v>14</v>
      </c>
      <c r="B16" s="1" t="s">
        <v>14</v>
      </c>
      <c r="C16" s="1" t="s">
        <v>53</v>
      </c>
      <c r="D16" s="1" t="s">
        <v>60</v>
      </c>
      <c r="E16" s="4">
        <f t="shared" si="0"/>
        <v>0</v>
      </c>
    </row>
    <row r="17" spans="1:5">
      <c r="A17" s="1">
        <v>15</v>
      </c>
      <c r="B17" s="1" t="s">
        <v>42</v>
      </c>
      <c r="C17" s="1" t="s">
        <v>51</v>
      </c>
      <c r="D17" s="1"/>
      <c r="E17" s="4">
        <f t="shared" si="0"/>
        <v>0</v>
      </c>
    </row>
    <row r="18" spans="1:5">
      <c r="A18" s="1">
        <v>16</v>
      </c>
      <c r="B18" s="1" t="s">
        <v>62</v>
      </c>
      <c r="C18" s="1" t="s">
        <v>51</v>
      </c>
      <c r="D18" s="1"/>
      <c r="E18" s="4">
        <f t="shared" si="0"/>
        <v>0</v>
      </c>
    </row>
    <row r="19" spans="1:5">
      <c r="A19" s="1">
        <v>17</v>
      </c>
      <c r="B19" s="1" t="s">
        <v>31</v>
      </c>
      <c r="C19" s="1" t="s">
        <v>52</v>
      </c>
      <c r="D19" s="1"/>
      <c r="E19" s="4">
        <f t="shared" si="0"/>
        <v>0</v>
      </c>
    </row>
    <row r="20" spans="1:5">
      <c r="A20" s="1">
        <v>18</v>
      </c>
      <c r="B20" s="1" t="s">
        <v>12</v>
      </c>
      <c r="C20" s="1" t="s">
        <v>52</v>
      </c>
      <c r="D20" s="1"/>
      <c r="E20" s="4">
        <f t="shared" si="0"/>
        <v>0</v>
      </c>
    </row>
    <row r="21" spans="1:5">
      <c r="A21" s="1">
        <v>19</v>
      </c>
      <c r="B21" s="1" t="s">
        <v>26</v>
      </c>
      <c r="C21" s="1" t="s">
        <v>53</v>
      </c>
      <c r="D21" s="1"/>
      <c r="E21" s="4">
        <f t="shared" si="0"/>
        <v>0</v>
      </c>
    </row>
    <row r="22" spans="1:5">
      <c r="A22" s="1">
        <v>20</v>
      </c>
      <c r="B22" s="1" t="s">
        <v>46</v>
      </c>
      <c r="C22" s="1" t="s">
        <v>52</v>
      </c>
      <c r="D22" s="1" t="s">
        <v>60</v>
      </c>
      <c r="E22" s="4">
        <f t="shared" si="0"/>
        <v>0</v>
      </c>
    </row>
    <row r="23" spans="1:5">
      <c r="A23" s="1">
        <v>21</v>
      </c>
      <c r="B23" s="1" t="s">
        <v>45</v>
      </c>
      <c r="C23" s="1" t="s">
        <v>51</v>
      </c>
      <c r="D23" s="1"/>
      <c r="E23" s="4">
        <f t="shared" si="0"/>
        <v>0</v>
      </c>
    </row>
    <row r="24" spans="1:5">
      <c r="A24" s="1">
        <v>22</v>
      </c>
      <c r="B24" s="1" t="s">
        <v>19</v>
      </c>
      <c r="C24" s="1" t="s">
        <v>53</v>
      </c>
      <c r="D24" s="1"/>
      <c r="E24" s="4">
        <f t="shared" si="0"/>
        <v>44</v>
      </c>
    </row>
    <row r="25" spans="1:5">
      <c r="A25" s="1">
        <v>23</v>
      </c>
      <c r="B25" s="1" t="s">
        <v>48</v>
      </c>
      <c r="C25" s="1" t="s">
        <v>51</v>
      </c>
      <c r="D25" s="1"/>
      <c r="E25" s="4">
        <f t="shared" si="0"/>
        <v>0</v>
      </c>
    </row>
    <row r="26" spans="1:5">
      <c r="A26" s="1">
        <v>24</v>
      </c>
      <c r="B26" s="1" t="s">
        <v>32</v>
      </c>
      <c r="C26" s="1" t="s">
        <v>53</v>
      </c>
      <c r="D26" s="1"/>
      <c r="E26" s="4">
        <f t="shared" si="0"/>
        <v>0</v>
      </c>
    </row>
    <row r="27" spans="1:5">
      <c r="A27" s="1">
        <v>25</v>
      </c>
      <c r="B27" s="1" t="s">
        <v>43</v>
      </c>
      <c r="C27" s="1" t="s">
        <v>51</v>
      </c>
      <c r="D27" s="1"/>
      <c r="E27" s="4">
        <f t="shared" si="0"/>
        <v>0</v>
      </c>
    </row>
    <row r="28" spans="1:5">
      <c r="A28" s="1">
        <v>26</v>
      </c>
      <c r="B28" s="1" t="s">
        <v>221</v>
      </c>
      <c r="C28" s="1" t="s">
        <v>52</v>
      </c>
      <c r="D28" s="1"/>
      <c r="E28" s="4">
        <f t="shared" si="0"/>
        <v>36</v>
      </c>
    </row>
    <row r="29" spans="1:5">
      <c r="A29" s="1">
        <v>27</v>
      </c>
      <c r="B29" s="1" t="s">
        <v>28</v>
      </c>
      <c r="C29" s="1" t="s">
        <v>51</v>
      </c>
      <c r="D29" s="1"/>
      <c r="E29" s="4">
        <f t="shared" si="0"/>
        <v>0</v>
      </c>
    </row>
    <row r="30" spans="1:5">
      <c r="A30" s="1">
        <v>28</v>
      </c>
      <c r="B30" s="1" t="s">
        <v>37</v>
      </c>
      <c r="C30" s="1" t="s">
        <v>52</v>
      </c>
      <c r="D30" s="1"/>
      <c r="E30" s="4">
        <f t="shared" si="0"/>
        <v>0</v>
      </c>
    </row>
    <row r="31" spans="1:5">
      <c r="A31" s="1">
        <v>29</v>
      </c>
      <c r="B31" s="1" t="s">
        <v>8</v>
      </c>
      <c r="C31" s="1" t="s">
        <v>51</v>
      </c>
      <c r="D31" s="1"/>
      <c r="E31" s="4">
        <f t="shared" si="0"/>
        <v>0</v>
      </c>
    </row>
    <row r="32" spans="1:5">
      <c r="A32" s="1">
        <v>30</v>
      </c>
      <c r="B32" s="1" t="s">
        <v>44</v>
      </c>
      <c r="C32" s="1" t="s">
        <v>51</v>
      </c>
      <c r="D32" s="1"/>
      <c r="E32" s="4">
        <f t="shared" si="0"/>
        <v>0</v>
      </c>
    </row>
    <row r="33" spans="1:5">
      <c r="A33" s="1">
        <v>31</v>
      </c>
      <c r="B33" s="1" t="s">
        <v>18</v>
      </c>
      <c r="C33" s="1" t="s">
        <v>53</v>
      </c>
      <c r="D33" s="1"/>
      <c r="E33" s="4">
        <f t="shared" si="0"/>
        <v>0</v>
      </c>
    </row>
    <row r="34" spans="1:5">
      <c r="D34" s="98" t="s">
        <v>65</v>
      </c>
      <c r="E34" s="99">
        <f>SUM(E3:E33)</f>
        <v>154</v>
      </c>
    </row>
    <row r="35" spans="1:5">
      <c r="C35" s="10"/>
      <c r="D35" s="11"/>
      <c r="E35" s="12"/>
    </row>
    <row r="36" spans="1:5">
      <c r="D36" s="11"/>
      <c r="E36" s="12"/>
    </row>
    <row r="37" spans="1:5">
      <c r="D37" s="11"/>
      <c r="E37" s="12"/>
    </row>
  </sheetData>
  <autoFilter ref="A2:E2" xr:uid="{00000000-0001-0000-0200-000000000000}">
    <sortState xmlns:xlrd2="http://schemas.microsoft.com/office/spreadsheetml/2017/richdata2" ref="A4:E34">
      <sortCondition ref="A2"/>
    </sortState>
  </autoFilter>
  <mergeCells count="2">
    <mergeCell ref="A1:A2"/>
    <mergeCell ref="B1:B2"/>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Registration_Result</vt:lpstr>
      <vt:lpstr>Reviewer1</vt:lpstr>
      <vt:lpstr>Reviewer4</vt:lpstr>
      <vt:lpstr>Reviewer3</vt:lpstr>
      <vt:lpstr>Reviewer2</vt:lpstr>
      <vt:lpstr>Registration</vt:lpstr>
      <vt:lpstr>Summary</vt:lpstr>
      <vt:lpstr>final_result</vt:lpstr>
      <vt:lpstr>final_result_table</vt:lpstr>
      <vt:lpstr>registration_full</vt:lpstr>
      <vt:lpstr>result_table_full</vt:lpstr>
      <vt:lpstr>reviewer_list</vt:lpstr>
      <vt:lpstr>reviewer1_result</vt:lpstr>
      <vt:lpstr>reviewer2_result</vt:lpstr>
      <vt:lpstr>reviewer3_result</vt:lpstr>
      <vt:lpstr>reviewer4_result</vt:lpstr>
      <vt:lpstr>summary_list</vt:lpstr>
      <vt:lpstr>supervisor1</vt:lpstr>
      <vt:lpstr>topic_review0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dinhm</dc:creator>
  <cp:lastModifiedBy>Phuong Lam Huu Khanh</cp:lastModifiedBy>
  <cp:lastPrinted>2025-08-11T10:41:42Z</cp:lastPrinted>
  <dcterms:created xsi:type="dcterms:W3CDTF">2023-05-12T09:44:00Z</dcterms:created>
  <dcterms:modified xsi:type="dcterms:W3CDTF">2026-02-04T02:24:13Z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F2C1E2B9B3B444CBA1A64EE1F85E6BC8</vt:lpwstr>
  </property>
  <property fmtid="{D5CDD505-2E9C-101B-9397-08002B2CF9AE}" pid="3" name="KSOProductBuildVer">
    <vt:lpwstr>1033-11.2.0.11537</vt:lpwstr>
  </property>
</Properties>
</file>